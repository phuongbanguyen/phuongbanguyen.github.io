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D:\Đào tạo\2021-2022\kh mo nhom mon hoc\Ngay 5-7\"/>
    </mc:Choice>
  </mc:AlternateContent>
  <xr:revisionPtr revIDLastSave="0" documentId="13_ncr:1_{CF23470E-BC97-4F31-A249-3D33E4292658}" xr6:coauthVersionLast="47" xr6:coauthVersionMax="47" xr10:uidLastSave="{00000000-0000-0000-0000-000000000000}"/>
  <bookViews>
    <workbookView xWindow="-120" yWindow="-120" windowWidth="20730" windowHeight="11160" tabRatio="809" activeTab="3" xr2:uid="{00000000-000D-0000-FFFF-FFFF00000000}"/>
  </bookViews>
  <sheets>
    <sheet name="DSGV" sheetId="20" r:id="rId1"/>
    <sheet name="DSGVCH" sheetId="27" r:id="rId2"/>
    <sheet name="Configure" sheetId="28" state="veryHidden" r:id="rId3"/>
    <sheet name="Mau1_HKI_TUD" sheetId="6" r:id="rId4"/>
    <sheet name="Mau1_HKII_TUD" sheetId="17" r:id="rId5"/>
    <sheet name="Mau1_SPToan_HKI" sheetId="13" r:id="rId6"/>
    <sheet name="Mau1_SPToan_HKII" sheetId="14" r:id="rId7"/>
    <sheet name="Mau1_HKI_MonChung" sheetId="21" r:id="rId8"/>
    <sheet name="Mau1_HKII_MonChung" sheetId="22" r:id="rId9"/>
    <sheet name="Mau2" sheetId="1" r:id="rId10"/>
    <sheet name="Mau3" sheetId="23" r:id="rId11"/>
    <sheet name="Mau4" sheetId="24" r:id="rId12"/>
    <sheet name="Mau5" sheetId="25" r:id="rId13"/>
    <sheet name="Mau6" sheetId="12" r:id="rId14"/>
  </sheets>
  <definedNames>
    <definedName name="_xlnm._FilterDatabase" localSheetId="9" hidden="1">'Mau2'!$A$9:$S$227</definedName>
    <definedName name="_xlnm.Print_Area" localSheetId="7">Mau1_HKI_MonChung!#REF!</definedName>
    <definedName name="_xlnm.Print_Area" localSheetId="3">Mau1_HKI_TUD!#REF!</definedName>
    <definedName name="_xlnm.Print_Area" localSheetId="8">Mau1_HKII_MonChung!#REF!</definedName>
    <definedName name="_xlnm.Print_Area" localSheetId="5">Mau1_SPToan_HKI!$A$1:$P$56</definedName>
    <definedName name="_xlnm.Print_Area" localSheetId="6">Mau1_SPToan_HKII!$A$1:$P$51</definedName>
    <definedName name="_xlnm.Print_Area" localSheetId="12">'Mau5'!$A$1:$J$29</definedName>
    <definedName name="_xlnm.Print_Area" localSheetId="13">'Mau6'!$A$1:$R$53</definedName>
    <definedName name="_xlnm.Print_Titles" localSheetId="7">Mau1_HKI_MonChung!#REF!</definedName>
    <definedName name="_xlnm.Print_Titles" localSheetId="3">Mau1_HKI_TUD!#REF!</definedName>
    <definedName name="_xlnm.Print_Titles" localSheetId="8">Mau1_HKII_MonChung!#REF!</definedName>
    <definedName name="_xlnm.Print_Titles" localSheetId="5">Mau1_SPToan_HKI!$10:$11</definedName>
    <definedName name="_xlnm.Print_Titles" localSheetId="6">Mau1_SPToan_HKII!$10:$11</definedName>
    <definedName name="_xlnm.Print_Titles" localSheetId="9">'Mau2'!$9:$13</definedName>
    <definedName name="_xlnm.Print_Titles" localSheetId="10">'Mau3'!$11:$12</definedName>
    <definedName name="_xlnm.Print_Titles" localSheetId="11">'Mau4'!$10:$12</definedName>
  </definedNames>
  <calcPr calcId="191029"/>
</workbook>
</file>

<file path=xl/calcChain.xml><?xml version="1.0" encoding="utf-8"?>
<calcChain xmlns="http://schemas.openxmlformats.org/spreadsheetml/2006/main">
  <c r="P217" i="1" l="1"/>
  <c r="P213" i="1"/>
  <c r="P208" i="1"/>
  <c r="P206" i="1"/>
  <c r="P200" i="1"/>
  <c r="P198" i="1"/>
  <c r="P193" i="1"/>
  <c r="P189" i="1"/>
  <c r="P182" i="1"/>
  <c r="P180" i="1"/>
  <c r="P168" i="1"/>
  <c r="P164" i="1"/>
  <c r="P162" i="1"/>
  <c r="P159" i="1"/>
  <c r="P157" i="1"/>
  <c r="P151" i="1"/>
  <c r="P144" i="1"/>
  <c r="P140" i="1"/>
  <c r="P135" i="1"/>
  <c r="P129" i="1"/>
  <c r="P124" i="1"/>
  <c r="P122" i="1"/>
  <c r="P117" i="1"/>
  <c r="P110" i="1"/>
  <c r="P106" i="1"/>
  <c r="P99" i="1"/>
  <c r="P95" i="1"/>
  <c r="P89" i="1"/>
  <c r="P84" i="1"/>
  <c r="P80" i="1"/>
  <c r="P75" i="1"/>
  <c r="P67" i="1"/>
  <c r="P61" i="1"/>
  <c r="P56" i="1"/>
  <c r="P51" i="1"/>
  <c r="P47" i="1"/>
  <c r="P42" i="1"/>
  <c r="P38" i="1"/>
  <c r="P30" i="1"/>
  <c r="P22" i="1"/>
  <c r="H2" i="27"/>
  <c r="H14" i="27"/>
  <c r="H5" i="27"/>
  <c r="H7" i="27"/>
  <c r="H46" i="27"/>
  <c r="H37" i="27"/>
  <c r="H32" i="27"/>
  <c r="H35" i="27"/>
  <c r="G14" i="20" l="1"/>
  <c r="G45" i="20"/>
  <c r="G17" i="20" l="1"/>
  <c r="G42" i="20"/>
  <c r="G44" i="20"/>
  <c r="G15" i="20"/>
  <c r="I47" i="20"/>
  <c r="I46" i="20"/>
  <c r="I45" i="20"/>
  <c r="I44" i="20"/>
  <c r="I43" i="20"/>
  <c r="I42" i="20"/>
  <c r="I41" i="20"/>
  <c r="I40" i="20"/>
  <c r="I39" i="20"/>
  <c r="I38" i="20"/>
  <c r="I37" i="20"/>
  <c r="I36" i="20"/>
  <c r="I35" i="20"/>
  <c r="I34" i="20"/>
  <c r="I33" i="20"/>
  <c r="G33" i="20"/>
  <c r="I32" i="20"/>
  <c r="I31" i="20"/>
  <c r="I30" i="20"/>
  <c r="G30" i="20"/>
  <c r="I29" i="20"/>
  <c r="I28" i="20"/>
  <c r="I27" i="20"/>
  <c r="I26" i="20"/>
  <c r="I25" i="20"/>
  <c r="I23" i="20"/>
  <c r="I22" i="20"/>
  <c r="I21" i="20"/>
  <c r="I20" i="20"/>
  <c r="I19" i="20"/>
  <c r="I18" i="20"/>
  <c r="I17" i="20"/>
  <c r="I16" i="20"/>
  <c r="I15" i="20"/>
  <c r="I14" i="20"/>
  <c r="I13" i="20"/>
  <c r="I12" i="20"/>
  <c r="I11"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14" authorId="0" shapeId="0" xr:uid="{00000000-0006-0000-0100-000001000000}">
      <text>
        <r>
          <rPr>
            <b/>
            <sz val="10"/>
            <color indexed="8"/>
            <rFont val="Tahoma"/>
            <family val="2"/>
          </rPr>
          <t>Microsoft Office User:</t>
        </r>
        <r>
          <rPr>
            <sz val="10"/>
            <color indexed="8"/>
            <rFont val="Tahoma"/>
            <family val="2"/>
          </rPr>
          <t xml:space="preserve">
</t>
        </r>
        <r>
          <rPr>
            <sz val="10"/>
            <color indexed="8"/>
            <rFont val="Tahoma"/>
            <family val="2"/>
          </rPr>
          <t xml:space="preserve">- 2 ngành tin+kinh tế
</t>
        </r>
        <r>
          <rPr>
            <sz val="10"/>
            <color indexed="8"/>
            <rFont val="Tahoma"/>
            <family val="2"/>
          </rPr>
          <t>- DTU18; 20</t>
        </r>
      </text>
    </comment>
    <comment ref="A16" authorId="0" shapeId="0" xr:uid="{00000000-0006-0000-0100-000002000000}">
      <text>
        <r>
          <rPr>
            <b/>
            <sz val="10"/>
            <color indexed="8"/>
            <rFont val="Tahoma"/>
            <family val="2"/>
          </rPr>
          <t>Microsoft Office User:</t>
        </r>
        <r>
          <rPr>
            <sz val="10"/>
            <color indexed="8"/>
            <rFont val="Tahoma"/>
            <family val="2"/>
          </rPr>
          <t xml:space="preserve">
</t>
        </r>
        <r>
          <rPr>
            <sz val="10"/>
            <color indexed="8"/>
            <rFont val="Tahoma"/>
            <family val="2"/>
          </rPr>
          <t xml:space="preserve">- 2 ngành tin+kinh tế
</t>
        </r>
        <r>
          <rPr>
            <sz val="10"/>
            <color indexed="8"/>
            <rFont val="Tahoma"/>
            <family val="2"/>
          </rPr>
          <t>- DTU18; 20</t>
        </r>
      </text>
    </comment>
    <comment ref="A30" authorId="0" shapeId="0" xr:uid="{00000000-0006-0000-0100-000003000000}">
      <text>
        <r>
          <rPr>
            <b/>
            <sz val="10"/>
            <color rgb="FF000000"/>
            <rFont val="Tahoma"/>
            <family val="2"/>
          </rPr>
          <t>Microsoft Office User:</t>
        </r>
        <r>
          <rPr>
            <sz val="10"/>
            <color rgb="FF000000"/>
            <rFont val="Tahoma"/>
            <family val="2"/>
          </rPr>
          <t xml:space="preserve">
</t>
        </r>
        <r>
          <rPr>
            <sz val="10"/>
            <color rgb="FF000000"/>
            <rFont val="Tahoma"/>
            <family val="2"/>
          </rPr>
          <t>DTU18, DTU19</t>
        </r>
      </text>
    </comment>
    <comment ref="A32" authorId="0" shapeId="0" xr:uid="{00000000-0006-0000-0100-000004000000}">
      <text>
        <r>
          <rPr>
            <b/>
            <sz val="10"/>
            <color indexed="8"/>
            <rFont val="Tahoma"/>
            <family val="2"/>
          </rPr>
          <t>Microsoft Office User:</t>
        </r>
        <r>
          <rPr>
            <sz val="10"/>
            <color indexed="8"/>
            <rFont val="Tahoma"/>
            <family val="2"/>
          </rPr>
          <t xml:space="preserve">
</t>
        </r>
        <r>
          <rPr>
            <sz val="10"/>
            <color indexed="8"/>
            <rFont val="Tahoma"/>
            <family val="2"/>
          </rPr>
          <t>TIN+KINH TẾ</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12" authorId="0" shapeId="0" xr:uid="{00000000-0006-0000-0200-000001000000}">
      <text>
        <r>
          <rPr>
            <b/>
            <sz val="10"/>
            <color indexed="8"/>
            <rFont val="Tahoma"/>
            <family val="2"/>
          </rPr>
          <t>Microsoft Office User:</t>
        </r>
        <r>
          <rPr>
            <sz val="10"/>
            <color indexed="8"/>
            <rFont val="Tahoma"/>
            <family val="2"/>
          </rPr>
          <t xml:space="preserve">
</t>
        </r>
        <r>
          <rPr>
            <sz val="10"/>
            <color indexed="8"/>
            <rFont val="Tahoma"/>
            <family val="2"/>
          </rPr>
          <t>2 ngành: tin+kinh tế</t>
        </r>
      </text>
    </comment>
    <comment ref="O22" authorId="0" shapeId="0" xr:uid="{00000000-0006-0000-0200-000002000000}">
      <text>
        <r>
          <rPr>
            <b/>
            <sz val="10"/>
            <color rgb="FF000000"/>
            <rFont val="Tahoma"/>
            <family val="2"/>
          </rPr>
          <t>Microsoft Office User:</t>
        </r>
        <r>
          <rPr>
            <sz val="10"/>
            <color rgb="FF000000"/>
            <rFont val="Tahoma"/>
            <family val="2"/>
          </rPr>
          <t xml:space="preserve">
</t>
        </r>
        <r>
          <rPr>
            <sz val="14"/>
            <color rgb="FF000000"/>
            <rFont val="Times New Roman"/>
            <family val="18"/>
          </rPr>
          <t>Môn này mời khoa TCKT</t>
        </r>
      </text>
    </comment>
  </commentList>
</comments>
</file>

<file path=xl/sharedStrings.xml><?xml version="1.0" encoding="utf-8"?>
<sst xmlns="http://schemas.openxmlformats.org/spreadsheetml/2006/main" count="2139" uniqueCount="409">
  <si>
    <t>TRƯỜNG ĐẠI HỌC SÀI GÒN</t>
  </si>
  <si>
    <t>BẢNG PHÂN CÔNG CÔNG TÁC CỦA CÁN BỘ, GIẢNG VIÊN CƠ HỮU</t>
  </si>
  <si>
    <t>STT</t>
  </si>
  <si>
    <t>Họ và tên</t>
  </si>
  <si>
    <t>Năm sinh</t>
  </si>
  <si>
    <t>Chức danh, học vị</t>
  </si>
  <si>
    <t>Phân công giảng dạy</t>
  </si>
  <si>
    <t>Tên học phần</t>
  </si>
  <si>
    <t>Số tiết của HP</t>
  </si>
  <si>
    <t xml:space="preserve">Số lượng lớp, nhóm </t>
  </si>
  <si>
    <t>Giảng dạy ở học kì</t>
  </si>
  <si>
    <t>TC</t>
  </si>
  <si>
    <r>
      <t>CỘNG HÒA XÃ HỘI CHỦ NGHĨA VIỆT NAM</t>
    </r>
    <r>
      <rPr>
        <sz val="13"/>
        <rFont val="Times New Roman"/>
        <family val="1"/>
      </rPr>
      <t xml:space="preserve">         </t>
    </r>
  </si>
  <si>
    <t>Mã HP</t>
  </si>
  <si>
    <t>Số tiết  của HP</t>
  </si>
  <si>
    <t>Số lượng 
lớp, nhóm</t>
  </si>
  <si>
    <t>Giảng dạy 
ở học kì</t>
  </si>
  <si>
    <t>Ghi chú</t>
  </si>
  <si>
    <t>Số lượng lớp, nhóm</t>
  </si>
  <si>
    <t>KẾ HOẠCH THỈNH GIẢNG</t>
  </si>
  <si>
    <t>Giảng viên thỉnh giảng</t>
  </si>
  <si>
    <t>Học phần đăng kí thỉnh giảng</t>
  </si>
  <si>
    <t>Chuyên ngành đào tạo</t>
  </si>
  <si>
    <t>Chức danh, Học vị</t>
  </si>
  <si>
    <t>Đơn vị công tác</t>
  </si>
  <si>
    <t>Độc lập – Tự do – Hạnh phúc</t>
  </si>
  <si>
    <t>Duyệt của Ban Giám Hiệu</t>
  </si>
  <si>
    <t xml:space="preserve"> Trưởng Phòng KH - TC</t>
  </si>
  <si>
    <t>Trưởng Phòng TCCB</t>
  </si>
  <si>
    <t>(1)</t>
  </si>
  <si>
    <t>(2)</t>
  </si>
  <si>
    <t>(3)</t>
  </si>
  <si>
    <t>(4)</t>
  </si>
  <si>
    <t>(5)</t>
  </si>
  <si>
    <t>(6)</t>
  </si>
  <si>
    <t>(7)</t>
  </si>
  <si>
    <t>(8)</t>
  </si>
  <si>
    <t>(9)</t>
  </si>
  <si>
    <t>(10)</t>
  </si>
  <si>
    <t>(11)</t>
  </si>
  <si>
    <t>(12)</t>
  </si>
  <si>
    <t>(13)</t>
  </si>
  <si>
    <t>CỘNG HÒA XÃ HỘI CHỦ NGHĨA VIỆT NAM</t>
  </si>
  <si>
    <t>Độc lập - Tự do - Hạnh phúc</t>
  </si>
  <si>
    <t>KẾ HOẠCH MỞ NHÓM MÔN CHUYÊN NGÀNH</t>
  </si>
  <si>
    <t>Số
TC</t>
  </si>
  <si>
    <t>Số tiết</t>
  </si>
  <si>
    <t>Số
nhóm</t>
  </si>
  <si>
    <t>SLSV/ 
Nhóm</t>
  </si>
  <si>
    <t>Mã
CBGD</t>
  </si>
  <si>
    <t>Họ và tên CBGD</t>
  </si>
  <si>
    <t>LT</t>
  </si>
  <si>
    <t>TH</t>
  </si>
  <si>
    <t xml:space="preserve">Các học phần có yêu cầu đặc biệt về việc tổ chức đào tạo, được ghi vào phần ghi chú dưới đây.     </t>
  </si>
  <si>
    <t>Ghi chú:</t>
  </si>
  <si>
    <t xml:space="preserve"> </t>
  </si>
  <si>
    <t>Khóa</t>
  </si>
  <si>
    <t>Học kì</t>
  </si>
  <si>
    <t>Thời gian</t>
  </si>
  <si>
    <t>Số ngày</t>
  </si>
  <si>
    <t>Từ ngày</t>
  </si>
  <si>
    <t>Đến ngày</t>
  </si>
  <si>
    <t xml:space="preserve">         </t>
  </si>
  <si>
    <t>Họ và tên GV</t>
  </si>
  <si>
    <t>Số tiết
thực hiện</t>
  </si>
  <si>
    <t>Hệ số
HP</t>
  </si>
  <si>
    <t>KẾ HOẠCH MỜI GIẢNG</t>
  </si>
  <si>
    <t>Giảng viên</t>
  </si>
  <si>
    <t>Mã CB</t>
  </si>
  <si>
    <t>Họ tên</t>
  </si>
  <si>
    <t>Số tiết thực tế thỉnh giảng</t>
  </si>
  <si>
    <t>Tên HP</t>
  </si>
  <si>
    <t>Số TC</t>
  </si>
  <si>
    <t>Địa điểm</t>
  </si>
  <si>
    <t xml:space="preserve">       DUYỆT</t>
  </si>
  <si>
    <t>1. Danh sách các giảng viên đang được phân công giảng dạy</t>
  </si>
  <si>
    <t>Được phân công giảng dạy</t>
  </si>
  <si>
    <t>Số tiết đã thực hiện</t>
  </si>
  <si>
    <t>Số tiết còn lại</t>
  </si>
  <si>
    <t>Nhóm lớp</t>
  </si>
  <si>
    <t>2. Danh sách các giảng viên được thay thế</t>
  </si>
  <si>
    <t>Số tiết được phân công thay thế</t>
  </si>
  <si>
    <t>Số tiết được phân công</t>
  </si>
  <si>
    <t>BẢN ĐỀ NGHỊ THAY ĐỔI GIẢNG VIÊN</t>
  </si>
  <si>
    <t>Họ tên giảng viên</t>
  </si>
  <si>
    <t>Số tiết HP/MH</t>
  </si>
  <si>
    <t>(Mời cán bộ, giảng viên trong Trường không thuộc đơn vị mình)</t>
  </si>
  <si>
    <t>Lí do thay đổi
giảng viên giảng dạy</t>
  </si>
  <si>
    <t>Số  TC</t>
  </si>
  <si>
    <t>Nội dung 
hoạt động tập trung ngoài trường</t>
  </si>
  <si>
    <t>Trưởng Khoa/Ngành</t>
  </si>
  <si>
    <t>Chức danh,
học vị</t>
  </si>
  <si>
    <t>(14)</t>
  </si>
  <si>
    <t xml:space="preserve"> - Cột 11: ghi rõ số lượng nhóm giảng dạy ở từng học kì (không đánh dấu x).</t>
  </si>
  <si>
    <t xml:space="preserve">         TRƯỞNG KHOA/NGÀNH</t>
  </si>
  <si>
    <t xml:space="preserve">   Duyệt của Ban Giám Hiệu                          Trưởng P. Kế hoạch - TC                    Trưởng P. Tổ chức - CB                                   Trưởng khoa/Ngành</t>
  </si>
  <si>
    <t>TRƯỞNG KHOA/NGÀNH</t>
  </si>
  <si>
    <t>Mã
GV</t>
  </si>
  <si>
    <t>BAN GIÁM HIỆU                      TRƯỞNG PHÒNG TC- CB                      TRƯỞNG PHÒNG ĐÀO TẠO                          TRƯỞNG KHOA/NGÀNH</t>
  </si>
  <si>
    <r>
      <t xml:space="preserve">      Khoa/Ngành:</t>
    </r>
    <r>
      <rPr>
        <b/>
        <sz val="4"/>
        <rFont val="Times New Roman"/>
        <family val="1"/>
      </rPr>
      <t xml:space="preserve"> ……………………………………………………………………………………</t>
    </r>
  </si>
  <si>
    <t>Giảng viên số thứ tự nào ở mục 1 sẽ được thay thế bới giảng viên thứ tự đó ở mục 2</t>
  </si>
  <si>
    <t>TS. Cao Thái Phương Thanh</t>
  </si>
  <si>
    <t>Số tiết
 thực tế mời giảng</t>
  </si>
  <si>
    <t>Tổng số tiết thực tế giảng dạy của GV</t>
  </si>
  <si>
    <t xml:space="preserve"> - Cột 12: Tổng số tiết thực tế giảng dạy các HP (đã nhân hệ số học phần).</t>
  </si>
  <si>
    <t>Tổng số tiết công tác của giảng viên</t>
  </si>
  <si>
    <t>Số SV</t>
  </si>
  <si>
    <t>ỦY BAN NHÂN DÂN</t>
  </si>
  <si>
    <t>THÀNH PHỐ HỒ CHÍ MINH</t>
  </si>
  <si>
    <t>Thành phố Hồ Chí Minh, ngày      tháng      năm 2020</t>
  </si>
  <si>
    <t>NĂM HỌC 2020 – 2021</t>
  </si>
  <si>
    <t xml:space="preserve">    - Cột 13: ghi rõ các công tác kiêm nhiệm khác ngoài việc giảng dạy: Trưởng khoa; P.Trưởng khoa; cố vấn học tập;  chủ nhiệm lớp; hướng dẫn thực tập, thực tế; trợ lí..</t>
  </si>
  <si>
    <t>(15)</t>
  </si>
  <si>
    <t xml:space="preserve"> - Cột 15: tổng số tiết công tác của giảng viên: tổng số tiết của cột (12) + (14) </t>
  </si>
  <si>
    <t>ThS. Giang Quốc Tuấn</t>
  </si>
  <si>
    <r>
      <rPr>
        <b/>
        <sz val="12"/>
        <color indexed="9"/>
        <rFont val="Times New Roman"/>
        <family val="1"/>
      </rPr>
      <t xml:space="preserve">   S.TS. Nguyễn Viết Ngoạn  </t>
    </r>
    <r>
      <rPr>
        <b/>
        <sz val="12"/>
        <rFont val="Times New Roman"/>
        <family val="1"/>
      </rPr>
      <t xml:space="preserve">                           ThS. Giang Quốc Tuấn                    TS. Cao Thái Phương Thanh           </t>
    </r>
  </si>
  <si>
    <t>HỌC KÌ      , NĂM HỌC 2019 – 2020</t>
  </si>
  <si>
    <t xml:space="preserve">                                                            TS. Cao Thái Phương Thanh                           TS. Nguyễn Thanh Tân</t>
  </si>
  <si>
    <t>Công tác 
kiêm nhiệm</t>
  </si>
  <si>
    <t>Tên công tác kiêm nhiệm</t>
  </si>
  <si>
    <t>Phép biến đổi tích phân</t>
  </si>
  <si>
    <t>Phương trình đạo hàm riêng</t>
  </si>
  <si>
    <t>Thực hành sư phạm 5 THPT</t>
  </si>
  <si>
    <t>Giải tích hàm</t>
  </si>
  <si>
    <t>Độ đo tích phân</t>
  </si>
  <si>
    <t>DTO18</t>
  </si>
  <si>
    <t>Đo lường đánh giá kết quả học tập</t>
  </si>
  <si>
    <t>Thực hành sư phạm 4 THPT</t>
  </si>
  <si>
    <t>Đại số sơ cấp THPT</t>
  </si>
  <si>
    <t>DTO19</t>
  </si>
  <si>
    <t>Xác suất và thống kê toán</t>
  </si>
  <si>
    <t>Mêtric và Tôpô</t>
  </si>
  <si>
    <t>Đại số tuyến tính</t>
  </si>
  <si>
    <t>Số luận</t>
  </si>
  <si>
    <t>DTO20</t>
  </si>
  <si>
    <t>Giải tích số</t>
  </si>
  <si>
    <t>Lịch sử toán</t>
  </si>
  <si>
    <t>Bài toán không chỉnh</t>
  </si>
  <si>
    <t>Lý thuyết trường và Galois</t>
  </si>
  <si>
    <t>Hình học sơ cấp THPT</t>
  </si>
  <si>
    <t>Hàm biến phức</t>
  </si>
  <si>
    <t>Giải tích hàm nhiều biến</t>
  </si>
  <si>
    <t>Giải tích</t>
  </si>
  <si>
    <t>Lê Chi Lan</t>
  </si>
  <si>
    <t>Hoa Ánh Tường</t>
  </si>
  <si>
    <t>Nguyễn Ái Quốc</t>
  </si>
  <si>
    <t>Đỗ Thị Diên</t>
  </si>
  <si>
    <t>Trần Sơn Lâm</t>
  </si>
  <si>
    <t>Phạm Sỹ Nam</t>
  </si>
  <si>
    <t>Đồng Thanh Triết</t>
  </si>
  <si>
    <t>Cơ sở trí tuệ nhân tạo</t>
  </si>
  <si>
    <t>Thống kê ứng dụng</t>
  </si>
  <si>
    <t>Lý thuyết mật mã</t>
  </si>
  <si>
    <t>Lý thuyết trò chơi và ứng dụng</t>
  </si>
  <si>
    <t>Seminar chuyên đề kinh tế 1</t>
  </si>
  <si>
    <t>Phan Tất Hiển</t>
  </si>
  <si>
    <t>Các mô hình trong tài chính</t>
  </si>
  <si>
    <t>Trương Phúc Tuấn Anh</t>
  </si>
  <si>
    <t>Cấu trúc dữ liệu và giải thuật</t>
  </si>
  <si>
    <t>Cơ sở dữ liệu</t>
  </si>
  <si>
    <t>Kinh tế vĩ mô</t>
  </si>
  <si>
    <t>Lê Thái Sơn</t>
  </si>
  <si>
    <t>Nhập môn toán tài chính</t>
  </si>
  <si>
    <t>Thực tập tốt nghiệp</t>
  </si>
  <si>
    <t>Phân tích xử lý ảnh</t>
  </si>
  <si>
    <t>Phạm Thế Bảo</t>
  </si>
  <si>
    <t>Bảo mật mạng máy tính</t>
  </si>
  <si>
    <t>Nguyễn Võ Lam Giang</t>
  </si>
  <si>
    <t>Seminar chuyên đề tin học 2</t>
  </si>
  <si>
    <t>Mô hình tài chính công</t>
  </si>
  <si>
    <t>Lập trình hướng đối tượng</t>
  </si>
  <si>
    <t>Phân tích thiết kế hệ thống thông tin</t>
  </si>
  <si>
    <t>Kinh tế lượng</t>
  </si>
  <si>
    <t>Các phương pháp dự báo tài chính</t>
  </si>
  <si>
    <t>Toán tài chính nâng cao</t>
  </si>
  <si>
    <t>Kinh tế vi mô</t>
  </si>
  <si>
    <t>Nguyễn Sum</t>
  </si>
  <si>
    <t>Lê Minh Tuấn</t>
  </si>
  <si>
    <t>Phan Đức Tuấn</t>
  </si>
  <si>
    <t>Phan Hoàng Chơn</t>
  </si>
  <si>
    <t>Chế Thị Kim Phụng</t>
  </si>
  <si>
    <t>Đại số tuyến tính và ứng dụng</t>
  </si>
  <si>
    <t>Cơ sở toán học hiện đại</t>
  </si>
  <si>
    <t>Tạ Quang Sơn</t>
  </si>
  <si>
    <t>Giải tích hàm một biến</t>
  </si>
  <si>
    <t>Giải tích toán học II</t>
  </si>
  <si>
    <t>Thái Trần Phương Thảo</t>
  </si>
  <si>
    <t>Lương Thị Hồng Cẩm</t>
  </si>
  <si>
    <t>Hoàng Đức Thắng</t>
  </si>
  <si>
    <t>Phan Trung Hiếu</t>
  </si>
  <si>
    <t>Nguyễn Thị Thanh Lan</t>
  </si>
  <si>
    <t>Lê Minh Triết</t>
  </si>
  <si>
    <t>Trương Hoàng Huy</t>
  </si>
  <si>
    <t>Nguyễn Văn Huấn</t>
  </si>
  <si>
    <t>Đặng Đức Trọng</t>
  </si>
  <si>
    <t>Võ Hoàng Hưng</t>
  </si>
  <si>
    <t>Xác suất hiện đại và QTNN</t>
  </si>
  <si>
    <t>Giải tích toán học I</t>
  </si>
  <si>
    <t>UBND THÀNH PHỒ HỒ CHÍ MINH</t>
  </si>
  <si>
    <t>Khoa: Toán - Ứng dụng</t>
  </si>
  <si>
    <t>Công tác 
khác</t>
  </si>
  <si>
    <t>Tổng số tiết tiêu chuẩn công tác của giảng viên</t>
  </si>
  <si>
    <t>ThS (GV)</t>
  </si>
  <si>
    <t>Nguyễn Lương Thái Bình</t>
  </si>
  <si>
    <t>ThS.NCS (GV)</t>
  </si>
  <si>
    <t>Trần Thanh Bình</t>
  </si>
  <si>
    <t>TS (GV)</t>
  </si>
  <si>
    <t>Thái Doãn Chương</t>
  </si>
  <si>
    <t>Trưởng BM Toán kinh tế</t>
  </si>
  <si>
    <t>Trần Chí Hiếu</t>
  </si>
  <si>
    <t>CVHT-DTU1192</t>
  </si>
  <si>
    <t>Nguyễn Thị Vân Khánh</t>
  </si>
  <si>
    <t>Lê Thị Tuyết Ngọc</t>
  </si>
  <si>
    <t>Trưởng bộ môn LL và PPDH</t>
  </si>
  <si>
    <t>TS (GVC)</t>
  </si>
  <si>
    <t>CVHT DTU1182</t>
  </si>
  <si>
    <t>Bùi Đình Thắng</t>
  </si>
  <si>
    <t>CVHT-DTU1191</t>
  </si>
  <si>
    <t>Trần Thị Thanh Thủy</t>
  </si>
  <si>
    <t>Hồ Hoàng Yến</t>
  </si>
  <si>
    <t>Nguyễn Thị Quỳnh Như</t>
  </si>
  <si>
    <t>CN (CV)</t>
  </si>
  <si>
    <t>Trợ lý VTM</t>
  </si>
  <si>
    <t>Phạm Hoàng Quân</t>
  </si>
  <si>
    <t>PGS.TS (GVCC)</t>
  </si>
  <si>
    <t>Trưởng Khoa</t>
  </si>
  <si>
    <t>TS. Phan Hoàng Chơn</t>
  </si>
  <si>
    <t>Tổng cộng</t>
  </si>
  <si>
    <t>KẾ HOẠCH MỞ NHÓM MÔN CHUNG</t>
  </si>
  <si>
    <t>Xác suất thống kê A</t>
  </si>
  <si>
    <t>Xác suất thống kê B</t>
  </si>
  <si>
    <t>Nguyên lý thống kê kinh tế</t>
  </si>
  <si>
    <t>Quy hoạch tuyến tính</t>
  </si>
  <si>
    <t>Giải tích 1</t>
  </si>
  <si>
    <t>Giải tích 2</t>
  </si>
  <si>
    <t>Toán cao cấp C1</t>
  </si>
  <si>
    <t>Toán cao cấp C2</t>
  </si>
  <si>
    <t>Cột tạm - Đừng xóa</t>
  </si>
  <si>
    <t>Nguyễn Phúc Bình</t>
  </si>
  <si>
    <t>N/A</t>
  </si>
  <si>
    <t>Thành phố Hồ Chí Minh, ngày 05 tháng 7 năm 2020</t>
  </si>
  <si>
    <t>Trần Đức Thành</t>
  </si>
  <si>
    <t>Toán cho Hóa</t>
  </si>
  <si>
    <t>Toán Cao cấp (khoa MT)</t>
  </si>
  <si>
    <t xml:space="preserve">Phó trưởng khoa TUD - Chi ủy viên </t>
  </si>
  <si>
    <t>Ngành đào tạo: Sư phạm Toán</t>
  </si>
  <si>
    <t>Học kì 1,  Năm học 2020 - 2021</t>
  </si>
  <si>
    <t>Ngành đào tạo:</t>
  </si>
  <si>
    <t>Kinh tế lượng (QTKD)</t>
  </si>
  <si>
    <t>PGS.TS (GV)</t>
  </si>
  <si>
    <t>Khoa CNTT</t>
  </si>
  <si>
    <t>Kiều Phương Chi</t>
  </si>
  <si>
    <t>Phòng KT &amp; ĐBCLGD</t>
  </si>
  <si>
    <t>Ban Giám hiệu</t>
  </si>
  <si>
    <t>TS.(GV)</t>
  </si>
  <si>
    <t>Trường THTH Sài Gòn</t>
  </si>
  <si>
    <r>
      <t>CỘNG HÒA XÃ HỘI CHỦ NGHĨA VIỆT NAM</t>
    </r>
    <r>
      <rPr>
        <sz val="16"/>
        <rFont val="Times New Roman"/>
        <family val="1"/>
      </rPr>
      <t xml:space="preserve">         </t>
    </r>
  </si>
  <si>
    <r>
      <t>Khoa/Ngành</t>
    </r>
    <r>
      <rPr>
        <sz val="16"/>
        <rFont val="Times New Roman"/>
        <family val="1"/>
      </rPr>
      <t>: ………………….………………………………………………………</t>
    </r>
  </si>
  <si>
    <t>GS.TS (GV CC)</t>
  </si>
  <si>
    <t>Trường Đại học Khoa học tự nhiên</t>
  </si>
  <si>
    <t>Độ đo tích phân</t>
  </si>
  <si>
    <t>Ngành đào tạo: Toán - Ứng dụng</t>
  </si>
  <si>
    <t>CVHT DTO1182</t>
  </si>
  <si>
    <t>CVHT-DTO1181</t>
  </si>
  <si>
    <t>Trợ lý NCKH</t>
  </si>
  <si>
    <t>(Đi công tác nước ngoài)</t>
  </si>
  <si>
    <t>Thành phố Hồ Chí Minh, ngày 05 tháng 7 năm 2021</t>
  </si>
  <si>
    <t>Học kì I,  Năm học 2021 - 2022</t>
  </si>
  <si>
    <t>Học kì II,  Năm học 2021 - 2022</t>
  </si>
  <si>
    <t>Thực tập 2</t>
  </si>
  <si>
    <t>Thực tập 1</t>
  </si>
  <si>
    <t>PPNCKH ngành SP Toán</t>
  </si>
  <si>
    <t>Tiếng Anh chuyên ngành</t>
  </si>
  <si>
    <t>Thực hành Sư phạm 2</t>
  </si>
  <si>
    <t>Phương pháp dạy học môn toán I</t>
  </si>
  <si>
    <t>Xác suất và thống kê Toán</t>
  </si>
  <si>
    <t xml:space="preserve">Thực hành sư phạm 3 </t>
  </si>
  <si>
    <t xml:space="preserve">Phương pháp dạy học môn toán II </t>
  </si>
  <si>
    <t>DTO21</t>
  </si>
  <si>
    <t>Đại số đại cương</t>
  </si>
  <si>
    <t xml:space="preserve">Thực hành sư phạm 1 </t>
  </si>
  <si>
    <t>Lý luận dạy học môn Toán</t>
  </si>
  <si>
    <t>Thành phố Hồ Chí Minh, ngày      tháng  6  năm 2021</t>
  </si>
  <si>
    <t>DTU18</t>
  </si>
  <si>
    <t>DTU18, DTU20</t>
  </si>
  <si>
    <t>Kiểm thử phần mềm</t>
  </si>
  <si>
    <t>Tối ưu hóa</t>
  </si>
  <si>
    <t>Lý thuyết vận trù học</t>
  </si>
  <si>
    <t>DTU18, DTU19</t>
  </si>
  <si>
    <t>DTU19</t>
  </si>
  <si>
    <t>Kỹ thuật lập trình</t>
  </si>
  <si>
    <t>Lý thuyết tài chính tiền tệ</t>
  </si>
  <si>
    <t>DTU20</t>
  </si>
  <si>
    <t>DTU21</t>
  </si>
  <si>
    <t>Thành phố Hồ Chí Minh, ngày      tháng 6 năm  2021</t>
  </si>
  <si>
    <t>Quản trị rủi ro tài chính</t>
  </si>
  <si>
    <t>Mô hình hóa mô phỏng</t>
  </si>
  <si>
    <t>Tin học thống kê</t>
  </si>
  <si>
    <t>Phương trình vi phân và ứng dụng</t>
  </si>
  <si>
    <t xml:space="preserve">                                                                                        Học kì II   ,  Năm học 2021 - 2022</t>
  </si>
  <si>
    <t xml:space="preserve">                                                                                       Ngành đào tạo: Toán Ứng dụng</t>
  </si>
  <si>
    <t xml:space="preserve">                                                                                        Học kì I   ,  Năm học 2021 - 2022</t>
  </si>
  <si>
    <t xml:space="preserve">                                                                                       Ngành đào tạo: Toán Ưng dụng</t>
  </si>
  <si>
    <t>Đại số</t>
  </si>
  <si>
    <t>Phương pháp</t>
  </si>
  <si>
    <t>Toán tin</t>
  </si>
  <si>
    <t>Toán kinh tế</t>
  </si>
  <si>
    <t>Khoa TC-KT</t>
  </si>
  <si>
    <t>Chế Thị Kim Phụng; Nguyễn Sum; Phan Hoàng Chơn; Nguyễn Thị Vân Khánh; Nguyễn Lương Thái Bình</t>
  </si>
  <si>
    <t>PGS. TS (GV)</t>
  </si>
  <si>
    <t>Phó bộ môn Giải tích</t>
  </si>
  <si>
    <t>Nguyễn Trần Minh Thư</t>
  </si>
  <si>
    <t>ThS (CV)</t>
  </si>
  <si>
    <t>Hiệu trưởng (298) - PBT Đảng ủy Khối (88) - Phó BT Đảng uỷ (88 - 50%)</t>
  </si>
  <si>
    <t>Viện trưởng (263) - Phó trưởng khoa TUD (70 - 50%) -Trưởng BM (70 - 0%) - Bí thư CB (53) - Đảng ủy viên (53 - 50%)</t>
  </si>
  <si>
    <t>NĂM HỌC 2021 – 2022</t>
  </si>
  <si>
    <t xml:space="preserve">Kiều Phương Chi </t>
  </si>
  <si>
    <t>Võ Thị Tú Quỳnh</t>
  </si>
  <si>
    <t>Thái Trần Phương Thảo, Lương Thị Hồng Cẩm, Lê Thái Sơn, Trương Phúc Tuấn Anh, Hoàng Đức Thắng, Phan Tất Hiển, Phan Trung Hiếu</t>
  </si>
  <si>
    <t>Thái Trần Phương Thảo, Lê Thái Sơn, Trương Phúc Tuấn Anh, Hoàng Đức Thắng, Phan Tất Hiển, Phan Trung Hiếu</t>
  </si>
  <si>
    <t>Thống kê sinh học</t>
  </si>
  <si>
    <t>SPKHTN</t>
  </si>
  <si>
    <t>21 CNTT + KTPM</t>
  </si>
  <si>
    <t>21 CLC</t>
  </si>
  <si>
    <t>Xác suất thống kê</t>
  </si>
  <si>
    <t>DKM117DCM117</t>
  </si>
  <si>
    <t xml:space="preserve">ThS (CV) </t>
  </si>
  <si>
    <t>Chế Thị Kim Phụng; Nguyễn Sum;Phan Đức Tuấn; Nguyễn Thị Vân Khánh; Nguyễn Lương Thái Bình</t>
  </si>
  <si>
    <t>Trưởng khoa(88)-Trưởng BM(70-50%)</t>
  </si>
  <si>
    <t>Phó bộ môn Toán kinh tế  (53) - Trợ lý đào tạo (53)</t>
  </si>
  <si>
    <t>Trưởng BM Toán Tin</t>
  </si>
  <si>
    <t>Phó BTCB (53)-Chủ tịch CĐBP (35 - 50%)</t>
  </si>
  <si>
    <t>CVHT DTU1181 (53) - Trợ lý đào tạo (53)</t>
  </si>
  <si>
    <t>CVHT DTO19</t>
  </si>
  <si>
    <t>Kinh tế lượng (TCKT)</t>
  </si>
  <si>
    <t>??</t>
  </si>
  <si>
    <t>Học chung với Khoa TCKT</t>
  </si>
  <si>
    <t>Nghỉ hậu sản từ tháng 2/2022</t>
  </si>
  <si>
    <t>Đại số tuyến tính (Sư phạm Toán)</t>
  </si>
  <si>
    <t>Nghỉ hậu sản đến hết tháng 11/2021</t>
  </si>
  <si>
    <t>Toán cho sư phạm khoa học tự nhiên 1</t>
  </si>
  <si>
    <t>Toán cho sư phạm khoa học tự nhiên 2</t>
  </si>
  <si>
    <t xml:space="preserve">      Khoa/Ngành: Toán - Ứng dụng</t>
  </si>
  <si>
    <t>Thành phố Hồ Chí Minh, ngày      tháng      năm 2021</t>
  </si>
  <si>
    <t>PGS,TS</t>
  </si>
  <si>
    <t>KHoa CNTT</t>
  </si>
  <si>
    <t>ThS</t>
  </si>
  <si>
    <t>Phòng Khảo thí &amp; ĐB CL</t>
  </si>
  <si>
    <t>10631/10409</t>
  </si>
  <si>
    <t>Phan Tấn Quốc (LT)
Phạm Hoàng Vương (TH)</t>
  </si>
  <si>
    <t>TS/ThS</t>
  </si>
  <si>
    <t xml:space="preserve">   Duyệt của Ban Giám Hiệu            Trưởng P. Kế hoạch - TC                    Trưởng P. Tổ chức - CB               Trưởng khoa/Ngành</t>
  </si>
  <si>
    <r>
      <rPr>
        <b/>
        <sz val="16"/>
        <color indexed="9"/>
        <rFont val="Times New Roman"/>
        <family val="1"/>
      </rPr>
      <t xml:space="preserve">  PGS.TS. Nguyễn Viết Ngoạn</t>
    </r>
    <r>
      <rPr>
        <b/>
        <sz val="16"/>
        <rFont val="Times New Roman"/>
        <family val="1"/>
      </rPr>
      <t xml:space="preserve">           ThS. Giang Quốc Tuấn        </t>
    </r>
    <r>
      <rPr>
        <b/>
        <sz val="16"/>
        <color indexed="9"/>
        <rFont val="Times New Roman"/>
        <family val="1"/>
      </rPr>
      <t xml:space="preserve"> </t>
    </r>
    <r>
      <rPr>
        <b/>
        <sz val="16"/>
        <rFont val="Times New Roman"/>
        <family val="1"/>
      </rPr>
      <t xml:space="preserve">          TS. Cao Thái Phương Thanh           </t>
    </r>
  </si>
  <si>
    <t>14/02</t>
  </si>
  <si>
    <t>28/5</t>
  </si>
  <si>
    <t>Thành phố Hồ Chí Minh, ngày        tháng          năm 2021</t>
  </si>
  <si>
    <t xml:space="preserve">   Thành phố Hồ Chí Minh, ngày      tháng      năm 2021</t>
  </si>
  <si>
    <t>Năm học 2021 - 2022</t>
  </si>
  <si>
    <t>Phòng Thiết Bị</t>
  </si>
  <si>
    <t>TS</t>
  </si>
  <si>
    <t>ThS.NCS</t>
  </si>
  <si>
    <t>PGS. TS</t>
  </si>
  <si>
    <t>CN</t>
  </si>
  <si>
    <t>PGS.TS</t>
  </si>
  <si>
    <t>Trợ lý đào tạo</t>
  </si>
  <si>
    <t>Trưởng khoa</t>
  </si>
  <si>
    <t>Trưởng BM Đại số</t>
  </si>
  <si>
    <t>70 (50%)</t>
  </si>
  <si>
    <t>CVHT DTU1192</t>
  </si>
  <si>
    <t>CVHT DTO1181</t>
  </si>
  <si>
    <t>CVHT DTU1191</t>
  </si>
  <si>
    <t>35 (50%)</t>
  </si>
  <si>
    <t>Phó BTCB</t>
  </si>
  <si>
    <t>Chủ tịch CĐBP</t>
  </si>
  <si>
    <t>CVHT DTU1181</t>
  </si>
  <si>
    <t>Phó trưởng khoa</t>
  </si>
  <si>
    <t>Viện trưởng</t>
  </si>
  <si>
    <t>Trưởng BM Giải tích</t>
  </si>
  <si>
    <t>70 (0%)</t>
  </si>
  <si>
    <t>Bí thư CB</t>
  </si>
  <si>
    <t>53 (50%)</t>
  </si>
  <si>
    <t>Đảng ủy viên</t>
  </si>
  <si>
    <t>Phó BM Toán kinh tế</t>
  </si>
  <si>
    <t>Phó BM Giải tích</t>
  </si>
  <si>
    <t>Trưởng BM LL và PPDH</t>
  </si>
  <si>
    <t>Chi ủy viên</t>
  </si>
  <si>
    <t>88 (50%)</t>
  </si>
  <si>
    <t>Phó BT Đảng uỷ</t>
  </si>
  <si>
    <t>PBT Đảng ủy Khối</t>
  </si>
  <si>
    <t>Hiệu trưởng</t>
  </si>
  <si>
    <t>Tổng số tiết</t>
  </si>
  <si>
    <t>La Thanh Hùng</t>
  </si>
  <si>
    <t>53 (100%)</t>
  </si>
  <si>
    <t>88 (100%)</t>
  </si>
  <si>
    <t>70 (100%)</t>
  </si>
  <si>
    <t>263 (100%)</t>
  </si>
  <si>
    <t>298 (100%)</t>
  </si>
  <si>
    <t>Biểu mẫu năm học</t>
  </si>
  <si>
    <t>Xem HDSD</t>
  </si>
  <si>
    <t>Mẫu 1</t>
  </si>
  <si>
    <t>Tạo KHMN ngành SP Toán</t>
  </si>
  <si>
    <t>Tạo KHMN Môn chung</t>
  </si>
  <si>
    <t>Điền thông tin GV (Cột M, N)</t>
  </si>
  <si>
    <t>Điền số tiết phân công (Cột P)</t>
  </si>
  <si>
    <t>Kiểm tra các lớp chưa có phân công</t>
  </si>
  <si>
    <t>Mẫu 2</t>
  </si>
  <si>
    <t>Tổng hợp Phân công từ Mẫu 1</t>
  </si>
  <si>
    <t>Ẩn các GV không thuộc GV Cơ hữu</t>
  </si>
  <si>
    <t>Tạo file nộp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</si>
</sst>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10000]d/m/yyyy;@"/>
    <numFmt numFmtId="165" formatCode="0.0"/>
  </numFmts>
  <fonts count="68" x14ac:knownFonts="1">
    <font>
      <sz val="12"/>
      <name val="VNI-Times"/>
    </font>
    <font>
      <sz val="12"/>
      <name val="VNI-Times"/>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VNI-Times"/>
    </font>
    <font>
      <sz val="13"/>
      <name val="Times New Roman"/>
      <family val="1"/>
    </font>
    <font>
      <b/>
      <sz val="13"/>
      <name val="Times New Roman"/>
      <family val="1"/>
    </font>
    <font>
      <b/>
      <sz val="16"/>
      <name val="Times New Roman"/>
      <family val="1"/>
    </font>
    <font>
      <sz val="12"/>
      <name val="Times New Roman"/>
      <family val="1"/>
    </font>
    <font>
      <b/>
      <sz val="12"/>
      <name val="Times New Roman"/>
      <family val="1"/>
    </font>
    <font>
      <sz val="13"/>
      <name val="VNI-Times"/>
    </font>
    <font>
      <b/>
      <sz val="4"/>
      <name val="Times New Roman"/>
      <family val="1"/>
    </font>
    <font>
      <sz val="11"/>
      <name val="Times New Roman"/>
      <family val="1"/>
    </font>
    <font>
      <i/>
      <sz val="12"/>
      <name val="Times New Roman"/>
      <family val="1"/>
    </font>
    <font>
      <i/>
      <sz val="13"/>
      <name val="Times New Roman"/>
      <family val="1"/>
    </font>
    <font>
      <sz val="10"/>
      <name val="Arial"/>
      <family val="2"/>
    </font>
    <font>
      <sz val="8"/>
      <name val="Arial"/>
      <family val="2"/>
    </font>
    <font>
      <sz val="16"/>
      <name val="Tahoma"/>
      <family val="2"/>
    </font>
    <font>
      <sz val="16"/>
      <name val="Times New Roman"/>
      <family val="1"/>
    </font>
    <font>
      <sz val="12"/>
      <name val="Tahoma"/>
      <family val="2"/>
    </font>
    <font>
      <b/>
      <sz val="20"/>
      <name val="Times New Roman"/>
      <family val="1"/>
    </font>
    <font>
      <b/>
      <sz val="17"/>
      <name val="Tahoma"/>
      <family val="2"/>
    </font>
    <font>
      <b/>
      <sz val="14"/>
      <name val="Tahoma"/>
      <family val="2"/>
    </font>
    <font>
      <b/>
      <sz val="13"/>
      <name val="Tahoma"/>
      <family val="2"/>
    </font>
    <font>
      <sz val="15"/>
      <name val="Tahoma"/>
      <family val="2"/>
    </font>
    <font>
      <sz val="18"/>
      <name val="Tahoma"/>
      <family val="2"/>
    </font>
    <font>
      <b/>
      <sz val="15"/>
      <name val="Tahoma"/>
      <family val="2"/>
    </font>
    <font>
      <b/>
      <sz val="12"/>
      <name val="Tahoma"/>
      <family val="2"/>
    </font>
    <font>
      <sz val="14"/>
      <name val="Tahoma"/>
      <family val="2"/>
    </font>
    <font>
      <b/>
      <sz val="15"/>
      <name val="Times New Roman"/>
      <family val="1"/>
    </font>
    <font>
      <sz val="15"/>
      <name val="Times New Roman"/>
      <family val="1"/>
    </font>
    <font>
      <i/>
      <sz val="16"/>
      <name val="Tahoma"/>
      <family val="2"/>
    </font>
    <font>
      <b/>
      <sz val="14"/>
      <name val="Times New Roman"/>
      <family val="1"/>
    </font>
    <font>
      <b/>
      <sz val="17"/>
      <name val="Times New Roman"/>
      <family val="1"/>
    </font>
    <font>
      <i/>
      <sz val="16"/>
      <name val="Times New Roman"/>
      <family val="1"/>
    </font>
    <font>
      <b/>
      <sz val="12"/>
      <color indexed="9"/>
      <name val="Times New Roman"/>
      <family val="1"/>
    </font>
    <font>
      <sz val="12"/>
      <color theme="1"/>
      <name val="Times New Roman"/>
      <family val="1"/>
    </font>
    <font>
      <b/>
      <sz val="16"/>
      <color theme="0"/>
      <name val="Times New Roman"/>
      <family val="1"/>
    </font>
    <font>
      <i/>
      <sz val="15"/>
      <name val="Times New Roman"/>
      <family val="1"/>
    </font>
    <font>
      <b/>
      <sz val="16"/>
      <color indexed="9"/>
      <name val="Times New Roman"/>
      <family val="1"/>
    </font>
    <font>
      <sz val="15"/>
      <color rgb="FFFF0000"/>
      <name val="Times New Roman"/>
      <family val="1"/>
    </font>
    <font>
      <sz val="15"/>
      <color rgb="FF000000"/>
      <name val="Times New Roman"/>
      <family val="1"/>
    </font>
    <font>
      <b/>
      <sz val="10"/>
      <color indexed="8"/>
      <name val="Tahoma"/>
      <family val="2"/>
    </font>
    <font>
      <sz val="10"/>
      <color indexed="8"/>
      <name val="Tahoma"/>
      <family val="2"/>
    </font>
    <font>
      <sz val="15"/>
      <color theme="1"/>
      <name val="Times New Roman"/>
      <family val="1"/>
    </font>
    <font>
      <b/>
      <sz val="10"/>
      <color rgb="FF000000"/>
      <name val="Tahoma"/>
      <family val="2"/>
    </font>
    <font>
      <sz val="10"/>
      <color rgb="FF000000"/>
      <name val="Tahoma"/>
      <family val="2"/>
    </font>
    <font>
      <sz val="14"/>
      <color rgb="FF000000"/>
      <name val="Times New Roman"/>
      <family val="18"/>
    </font>
    <font>
      <sz val="12"/>
      <color rgb="FF000000"/>
      <name val="Times New Roman"/>
      <family val="1"/>
    </font>
    <font>
      <sz val="13"/>
      <color theme="1"/>
      <name val="Times New Roman"/>
      <family val="1"/>
    </font>
    <font>
      <sz val="13"/>
      <color indexed="8"/>
      <name val="Times New Roman"/>
      <family val="1"/>
    </font>
    <font>
      <sz val="13"/>
      <color rgb="FFFF0000"/>
      <name val="Times New Roman"/>
      <family val="1"/>
    </font>
    <font>
      <b/>
      <sz val="12"/>
      <name val="VNI-Times"/>
    </font>
  </fonts>
  <fills count="3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
      <patternFill patternType="solid">
        <fgColor rgb="FFFF0000"/>
        <bgColor indexed="64"/>
      </patternFill>
    </fill>
    <fill>
      <patternFill patternType="solid">
        <fgColor theme="7" tint="0.39997558519241921"/>
        <bgColor indexed="64"/>
      </patternFill>
    </fill>
    <fill>
      <patternFill patternType="solid">
        <fgColor rgb="FF92D050"/>
        <bgColor indexed="64"/>
      </patternFill>
    </fill>
    <fill>
      <patternFill patternType="solid">
        <fgColor rgb="FF00B0F0"/>
        <bgColor indexed="64"/>
      </patternFill>
    </fill>
    <fill>
      <patternFill patternType="solid">
        <fgColor rgb="FF7030A0"/>
        <bgColor indexed="64"/>
      </patternFill>
    </fill>
    <fill>
      <patternFill patternType="solid">
        <fgColor theme="0"/>
        <bgColor indexed="64"/>
      </patternFill>
    </fill>
    <fill>
      <patternFill patternType="solid">
        <fgColor theme="4"/>
        <bgColor indexed="64"/>
      </patternFill>
    </fill>
    <fill>
      <patternFill patternType="solid">
        <fgColor theme="0"/>
        <bgColor theme="0"/>
      </patternFill>
    </fill>
  </fills>
  <borders count="6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style="hair">
        <color auto="1"/>
      </top>
      <bottom style="thin">
        <color auto="1"/>
      </bottom>
      <diagonal/>
    </border>
    <border>
      <left/>
      <right/>
      <top style="hair">
        <color indexed="64"/>
      </top>
      <bottom style="thin">
        <color auto="1"/>
      </bottom>
      <diagonal/>
    </border>
    <border>
      <left style="thin">
        <color indexed="64"/>
      </left>
      <right style="thin">
        <color indexed="64"/>
      </right>
      <top style="thin">
        <color auto="1"/>
      </top>
      <bottom style="hair">
        <color indexed="64"/>
      </bottom>
      <diagonal/>
    </border>
    <border>
      <left style="thin">
        <color indexed="64"/>
      </left>
      <right style="thin">
        <color indexed="64"/>
      </right>
      <top style="hair">
        <color indexed="64"/>
      </top>
      <bottom style="hair">
        <color auto="1"/>
      </bottom>
      <diagonal/>
    </border>
    <border>
      <left style="thin">
        <color indexed="64"/>
      </left>
      <right style="thin">
        <color indexed="64"/>
      </right>
      <top style="hair">
        <color indexed="64"/>
      </top>
      <bottom style="thin">
        <color auto="1"/>
      </bottom>
      <diagonal/>
    </border>
    <border>
      <left style="thin">
        <color indexed="64"/>
      </left>
      <right style="thin">
        <color indexed="64"/>
      </right>
      <top style="thin">
        <color auto="1"/>
      </top>
      <bottom style="hair">
        <color indexed="64"/>
      </bottom>
      <diagonal/>
    </border>
    <border>
      <left style="thin">
        <color indexed="64"/>
      </left>
      <right/>
      <top style="hair">
        <color indexed="64"/>
      </top>
      <bottom style="thin">
        <color auto="1"/>
      </bottom>
      <diagonal/>
    </border>
    <border>
      <left/>
      <right style="thin">
        <color indexed="64"/>
      </right>
      <top style="hair">
        <color indexed="64"/>
      </top>
      <bottom style="thin">
        <color auto="1"/>
      </bottom>
      <diagonal/>
    </border>
    <border>
      <left style="thin">
        <color indexed="64"/>
      </left>
      <right/>
      <top style="thin">
        <color indexed="64"/>
      </top>
      <bottom style="hair">
        <color auto="1"/>
      </bottom>
      <diagonal/>
    </border>
    <border>
      <left/>
      <right/>
      <top style="thin">
        <color indexed="64"/>
      </top>
      <bottom style="hair">
        <color auto="1"/>
      </bottom>
      <diagonal/>
    </border>
    <border>
      <left/>
      <right style="thin">
        <color indexed="64"/>
      </right>
      <top style="thin">
        <color indexed="64"/>
      </top>
      <bottom style="hair">
        <color auto="1"/>
      </bottom>
      <diagonal/>
    </border>
    <border>
      <left style="thin">
        <color indexed="64"/>
      </left>
      <right/>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auto="1"/>
      </bottom>
      <diagonal/>
    </border>
    <border>
      <left style="thin">
        <color indexed="64"/>
      </left>
      <right style="thin">
        <color indexed="64"/>
      </right>
      <top style="hair">
        <color auto="1"/>
      </top>
      <bottom style="hair">
        <color auto="1"/>
      </bottom>
      <diagonal/>
    </border>
    <border>
      <left style="thin">
        <color indexed="64"/>
      </left>
      <right style="thin">
        <color indexed="64"/>
      </right>
      <top style="hair">
        <color auto="1"/>
      </top>
      <bottom style="thin">
        <color indexed="64"/>
      </bottom>
      <diagonal/>
    </border>
    <border>
      <left style="thin">
        <color indexed="64"/>
      </left>
      <right style="thin">
        <color indexed="64"/>
      </right>
      <top style="thin">
        <color indexed="64"/>
      </top>
      <bottom style="hair">
        <color auto="1"/>
      </bottom>
      <diagonal/>
    </border>
    <border>
      <left style="thin">
        <color indexed="64"/>
      </left>
      <right style="thin">
        <color indexed="64"/>
      </right>
      <top style="hair">
        <color auto="1"/>
      </top>
      <bottom style="thin">
        <color indexed="64"/>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style="thin">
        <color indexed="64"/>
      </right>
      <top style="thin">
        <color indexed="64"/>
      </top>
      <bottom style="hair">
        <color auto="1"/>
      </bottom>
      <diagonal/>
    </border>
    <border>
      <left style="thin">
        <color indexed="64"/>
      </left>
      <right style="thin">
        <color indexed="64"/>
      </right>
      <top style="thin">
        <color indexed="64"/>
      </top>
      <bottom style="hair">
        <color auto="1"/>
      </bottom>
      <diagonal/>
    </border>
    <border>
      <left style="thin">
        <color indexed="64"/>
      </left>
      <right style="thin">
        <color indexed="64"/>
      </right>
      <top style="hair">
        <color auto="1"/>
      </top>
      <bottom style="hair">
        <color auto="1"/>
      </bottom>
      <diagonal/>
    </border>
    <border>
      <left style="thin">
        <color indexed="64"/>
      </left>
      <right style="thin">
        <color indexed="64"/>
      </right>
      <top style="thin">
        <color indexed="64"/>
      </top>
      <bottom style="hair">
        <color auto="1"/>
      </bottom>
      <diagonal/>
    </border>
    <border>
      <left style="thin">
        <color indexed="64"/>
      </left>
      <right style="thin">
        <color indexed="64"/>
      </right>
      <top style="hair">
        <color auto="1"/>
      </top>
      <bottom style="hair">
        <color auto="1"/>
      </bottom>
      <diagonal/>
    </border>
    <border>
      <left style="thin">
        <color indexed="64"/>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top style="hair">
        <color auto="1"/>
      </top>
      <bottom style="thin">
        <color indexed="64"/>
      </bottom>
      <diagonal/>
    </border>
    <border>
      <left/>
      <right style="thin">
        <color indexed="64"/>
      </right>
      <top style="hair">
        <color auto="1"/>
      </top>
      <bottom style="thin">
        <color indexed="64"/>
      </bottom>
      <diagonal/>
    </border>
  </borders>
  <cellStyleXfs count="43">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30" fillId="0" borderId="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cellStyleXfs>
  <cellXfs count="652">
    <xf numFmtId="0" fontId="0" fillId="0" borderId="0" xfId="0"/>
    <xf numFmtId="0" fontId="20" fillId="0" borderId="0" xfId="0" applyFont="1" applyAlignment="1"/>
    <xf numFmtId="0" fontId="21" fillId="0" borderId="0" xfId="0" applyFont="1" applyAlignment="1">
      <alignment horizontal="center"/>
    </xf>
    <xf numFmtId="0" fontId="21" fillId="0" borderId="0" xfId="0" applyFont="1" applyAlignment="1"/>
    <xf numFmtId="0" fontId="22" fillId="0" borderId="0" xfId="0" applyFont="1" applyAlignment="1"/>
    <xf numFmtId="0" fontId="22" fillId="0" borderId="0" xfId="0" applyFont="1" applyAlignment="1">
      <alignment horizontal="center"/>
    </xf>
    <xf numFmtId="0" fontId="24" fillId="0" borderId="0" xfId="0" applyFont="1" applyBorder="1" applyAlignment="1">
      <alignment vertical="center" wrapText="1"/>
    </xf>
    <xf numFmtId="0" fontId="24" fillId="0" borderId="0" xfId="0" applyFont="1" applyBorder="1" applyAlignment="1">
      <alignment horizontal="center" vertical="center" wrapText="1"/>
    </xf>
    <xf numFmtId="0" fontId="0" fillId="0" borderId="0" xfId="0" applyBorder="1"/>
    <xf numFmtId="0" fontId="25" fillId="0" borderId="0" xfId="0" applyFont="1"/>
    <xf numFmtId="0" fontId="24" fillId="0" borderId="0" xfId="0" applyFont="1" applyAlignment="1"/>
    <xf numFmtId="0" fontId="21" fillId="0" borderId="0" xfId="0" applyFont="1"/>
    <xf numFmtId="0" fontId="1" fillId="0" borderId="0" xfId="0" applyFont="1" applyAlignment="1">
      <alignment horizontal="center"/>
    </xf>
    <xf numFmtId="0" fontId="23" fillId="0" borderId="10" xfId="0" quotePrefix="1" applyFont="1" applyBorder="1" applyAlignment="1">
      <alignment horizontal="center" vertical="center" wrapText="1"/>
    </xf>
    <xf numFmtId="0" fontId="23" fillId="0" borderId="0" xfId="0" applyFont="1" applyBorder="1" applyAlignment="1">
      <alignment horizontal="center"/>
    </xf>
    <xf numFmtId="0" fontId="23" fillId="0" borderId="0" xfId="0" applyFont="1" applyBorder="1"/>
    <xf numFmtId="0" fontId="28" fillId="0" borderId="0" xfId="0" applyFont="1" applyAlignment="1"/>
    <xf numFmtId="0" fontId="0" fillId="0" borderId="0" xfId="0" applyAlignment="1">
      <alignment vertical="center" wrapText="1"/>
    </xf>
    <xf numFmtId="0" fontId="0" fillId="0" borderId="0" xfId="0" applyAlignment="1">
      <alignment vertical="center"/>
    </xf>
    <xf numFmtId="0" fontId="21" fillId="0" borderId="0" xfId="0" applyFont="1" applyAlignment="1">
      <alignment vertical="center"/>
    </xf>
    <xf numFmtId="0" fontId="20" fillId="0" borderId="0" xfId="0" applyFont="1" applyAlignment="1">
      <alignment vertical="center"/>
    </xf>
    <xf numFmtId="0" fontId="24" fillId="0" borderId="0" xfId="0" applyFont="1" applyBorder="1"/>
    <xf numFmtId="0" fontId="23" fillId="0" borderId="0" xfId="0" applyFont="1" applyBorder="1" applyAlignment="1">
      <alignment horizontal="left" indent="1"/>
    </xf>
    <xf numFmtId="0" fontId="32" fillId="0" borderId="0" xfId="37" applyFont="1" applyAlignment="1">
      <alignment horizontal="center"/>
    </xf>
    <xf numFmtId="0" fontId="33" fillId="0" borderId="0" xfId="37" applyFont="1" applyAlignment="1">
      <alignment horizontal="center"/>
    </xf>
    <xf numFmtId="0" fontId="32" fillId="0" borderId="0" xfId="37" applyFont="1"/>
    <xf numFmtId="0" fontId="22" fillId="0" borderId="0" xfId="37" applyFont="1" applyAlignment="1">
      <alignment horizontal="center"/>
    </xf>
    <xf numFmtId="0" fontId="21" fillId="0" borderId="0" xfId="37" applyFont="1" applyAlignment="1">
      <alignment horizontal="center"/>
    </xf>
    <xf numFmtId="0" fontId="34" fillId="0" borderId="0" xfId="37" applyFont="1"/>
    <xf numFmtId="0" fontId="22" fillId="0" borderId="0" xfId="37" applyFont="1" applyAlignment="1"/>
    <xf numFmtId="0" fontId="21" fillId="0" borderId="0" xfId="37" applyFont="1" applyAlignment="1"/>
    <xf numFmtId="0" fontId="35" fillId="0" borderId="0" xfId="37" applyFont="1" applyAlignment="1">
      <alignment horizontal="left"/>
    </xf>
    <xf numFmtId="0" fontId="34" fillId="0" borderId="0" xfId="37" applyFont="1" applyAlignment="1">
      <alignment horizontal="center"/>
    </xf>
    <xf numFmtId="0" fontId="36" fillId="0" borderId="0" xfId="37" applyFont="1" applyBorder="1" applyAlignment="1"/>
    <xf numFmtId="0" fontId="38" fillId="0" borderId="0" xfId="37" applyFont="1" applyBorder="1" applyAlignment="1"/>
    <xf numFmtId="0" fontId="39" fillId="0" borderId="0" xfId="37" applyFont="1" applyBorder="1" applyAlignment="1"/>
    <xf numFmtId="0" fontId="40" fillId="0" borderId="0" xfId="37" applyFont="1" applyBorder="1" applyAlignment="1"/>
    <xf numFmtId="0" fontId="38" fillId="0" borderId="0" xfId="37" applyFont="1" applyBorder="1" applyAlignment="1">
      <alignment horizontal="center"/>
    </xf>
    <xf numFmtId="0" fontId="38" fillId="0" borderId="0" xfId="37" applyFont="1" applyBorder="1" applyAlignment="1">
      <alignment horizontal="left"/>
    </xf>
    <xf numFmtId="0" fontId="34" fillId="0" borderId="0" xfId="37" applyFont="1" applyFill="1"/>
    <xf numFmtId="0" fontId="39" fillId="0" borderId="0" xfId="37" applyFont="1" applyBorder="1" applyAlignment="1">
      <alignment vertical="center"/>
    </xf>
    <xf numFmtId="0" fontId="39" fillId="0" borderId="0" xfId="37" quotePrefix="1" applyFont="1" applyBorder="1" applyAlignment="1">
      <alignment horizontal="center"/>
    </xf>
    <xf numFmtId="0" fontId="39" fillId="0" borderId="0" xfId="37" applyFont="1"/>
    <xf numFmtId="0" fontId="39" fillId="0" borderId="0" xfId="37" applyFont="1" applyAlignment="1">
      <alignment horizontal="center"/>
    </xf>
    <xf numFmtId="0" fontId="41" fillId="0" borderId="0" xfId="37" applyFont="1" applyAlignment="1">
      <alignment horizontal="left"/>
    </xf>
    <xf numFmtId="0" fontId="43" fillId="0" borderId="0" xfId="37" applyFont="1" applyAlignment="1">
      <alignment horizontal="center"/>
    </xf>
    <xf numFmtId="0" fontId="43" fillId="0" borderId="0" xfId="37" applyFont="1"/>
    <xf numFmtId="0" fontId="37" fillId="0" borderId="0" xfId="37" applyFont="1" applyAlignment="1">
      <alignment horizontal="center"/>
    </xf>
    <xf numFmtId="0" fontId="23" fillId="0" borderId="0" xfId="0" applyFont="1"/>
    <xf numFmtId="0" fontId="24" fillId="0" borderId="10" xfId="0" applyFont="1" applyBorder="1" applyAlignment="1">
      <alignment horizontal="center" vertical="center" wrapText="1"/>
    </xf>
    <xf numFmtId="0" fontId="24" fillId="0" borderId="0" xfId="0" applyFont="1"/>
    <xf numFmtId="0" fontId="34" fillId="0" borderId="0" xfId="0" applyFont="1"/>
    <xf numFmtId="0" fontId="42" fillId="0" borderId="0" xfId="0" applyFont="1" applyAlignment="1">
      <alignment vertical="top"/>
    </xf>
    <xf numFmtId="0" fontId="0" fillId="0" borderId="0" xfId="0" applyAlignment="1"/>
    <xf numFmtId="0" fontId="29" fillId="0" borderId="0" xfId="0" applyFont="1" applyAlignment="1">
      <alignment horizontal="left"/>
    </xf>
    <xf numFmtId="0" fontId="20" fillId="0" borderId="0" xfId="0" applyFont="1"/>
    <xf numFmtId="0" fontId="44" fillId="0" borderId="10" xfId="37" applyFont="1" applyFill="1" applyBorder="1" applyAlignment="1">
      <alignment horizontal="center" vertical="center"/>
    </xf>
    <xf numFmtId="0" fontId="44" fillId="0" borderId="15" xfId="37" applyFont="1" applyFill="1" applyBorder="1" applyAlignment="1">
      <alignment vertical="center" wrapText="1"/>
    </xf>
    <xf numFmtId="0" fontId="44" fillId="0" borderId="10" xfId="37" applyFont="1" applyFill="1" applyBorder="1" applyAlignment="1">
      <alignment horizontal="center" vertical="center" wrapText="1"/>
    </xf>
    <xf numFmtId="0" fontId="46" fillId="0" borderId="0" xfId="37" applyFont="1" applyAlignment="1">
      <alignment horizontal="center"/>
    </xf>
    <xf numFmtId="0" fontId="0" fillId="0" borderId="17" xfId="0" applyBorder="1"/>
    <xf numFmtId="0" fontId="24" fillId="0" borderId="0" xfId="0" applyFont="1" applyAlignment="1">
      <alignment horizontal="left"/>
    </xf>
    <xf numFmtId="0" fontId="34" fillId="0" borderId="0" xfId="37" applyFont="1" applyFill="1" applyBorder="1"/>
    <xf numFmtId="0" fontId="21" fillId="0" borderId="17" xfId="0" applyFont="1" applyBorder="1" applyAlignment="1">
      <alignment horizontal="left"/>
    </xf>
    <xf numFmtId="0" fontId="1" fillId="0" borderId="0" xfId="0" applyFont="1"/>
    <xf numFmtId="0" fontId="21" fillId="0" borderId="0" xfId="0" applyFont="1" applyBorder="1" applyAlignment="1">
      <alignment horizontal="left"/>
    </xf>
    <xf numFmtId="0" fontId="23" fillId="0" borderId="18" xfId="0" applyFont="1" applyBorder="1" applyAlignment="1">
      <alignment vertical="center" wrapText="1"/>
    </xf>
    <xf numFmtId="0" fontId="23" fillId="0" borderId="19" xfId="0" applyFont="1" applyBorder="1" applyAlignment="1">
      <alignment vertical="center" wrapText="1"/>
    </xf>
    <xf numFmtId="0" fontId="23" fillId="0" borderId="20" xfId="0" applyFont="1" applyBorder="1" applyAlignment="1">
      <alignment vertical="center" wrapText="1"/>
    </xf>
    <xf numFmtId="0" fontId="44" fillId="0" borderId="0" xfId="37" applyFont="1" applyFill="1" applyBorder="1" applyAlignment="1">
      <alignment horizontal="center" vertical="center"/>
    </xf>
    <xf numFmtId="0" fontId="44" fillId="0" borderId="0" xfId="37" applyFont="1" applyFill="1" applyBorder="1" applyAlignment="1">
      <alignment horizontal="center" vertical="center" wrapText="1"/>
    </xf>
    <xf numFmtId="0" fontId="29" fillId="0" borderId="0" xfId="0" applyFont="1" applyAlignment="1"/>
    <xf numFmtId="0" fontId="49" fillId="0" borderId="0" xfId="37" applyFont="1" applyAlignment="1"/>
    <xf numFmtId="0" fontId="24" fillId="0" borderId="22" xfId="0" applyFont="1" applyBorder="1" applyAlignment="1">
      <alignment horizontal="center" vertical="center" wrapText="1"/>
    </xf>
    <xf numFmtId="0" fontId="23" fillId="0" borderId="23" xfId="0" quotePrefix="1" applyFont="1" applyBorder="1" applyAlignment="1">
      <alignment horizontal="center" vertical="center"/>
    </xf>
    <xf numFmtId="0" fontId="45" fillId="0" borderId="11" xfId="37" applyFont="1" applyFill="1" applyBorder="1" applyAlignment="1">
      <alignment horizontal="center" vertical="center" wrapText="1"/>
    </xf>
    <xf numFmtId="0" fontId="45" fillId="0" borderId="14" xfId="37" applyFont="1" applyFill="1" applyBorder="1" applyAlignment="1">
      <alignment horizontal="center" vertical="center" wrapText="1"/>
    </xf>
    <xf numFmtId="0" fontId="45" fillId="0" borderId="24" xfId="37" applyFont="1" applyFill="1" applyBorder="1" applyAlignment="1">
      <alignment horizontal="center" vertical="center" wrapText="1"/>
    </xf>
    <xf numFmtId="0" fontId="45" fillId="0" borderId="12" xfId="37" applyFont="1" applyFill="1" applyBorder="1" applyAlignment="1">
      <alignment horizontal="center" vertical="center" wrapText="1"/>
    </xf>
    <xf numFmtId="0" fontId="22" fillId="0" borderId="0" xfId="37" applyFont="1"/>
    <xf numFmtId="0" fontId="21" fillId="0" borderId="0" xfId="37" applyFont="1"/>
    <xf numFmtId="0" fontId="49" fillId="0" borderId="0" xfId="37" applyFont="1"/>
    <xf numFmtId="0" fontId="36" fillId="0" borderId="0" xfId="37" applyFont="1"/>
    <xf numFmtId="0" fontId="38" fillId="0" borderId="0" xfId="37" applyFont="1"/>
    <xf numFmtId="0" fontId="40" fillId="0" borderId="0" xfId="37" applyFont="1"/>
    <xf numFmtId="0" fontId="38" fillId="0" borderId="0" xfId="37" applyFont="1" applyAlignment="1">
      <alignment horizontal="center"/>
    </xf>
    <xf numFmtId="0" fontId="38" fillId="0" borderId="0" xfId="37" applyFont="1" applyAlignment="1">
      <alignment horizontal="left"/>
    </xf>
    <xf numFmtId="0" fontId="44" fillId="0" borderId="10" xfId="37" applyFont="1" applyBorder="1" applyAlignment="1">
      <alignment horizontal="center" vertical="center"/>
    </xf>
    <xf numFmtId="0" fontId="44" fillId="0" borderId="15" xfId="37" applyFont="1" applyBorder="1" applyAlignment="1">
      <alignment vertical="center" wrapText="1"/>
    </xf>
    <xf numFmtId="0" fontId="44" fillId="0" borderId="10" xfId="37" applyFont="1" applyBorder="1" applyAlignment="1">
      <alignment horizontal="center" vertical="center" wrapText="1"/>
    </xf>
    <xf numFmtId="0" fontId="39" fillId="0" borderId="0" xfId="37" applyFont="1" applyAlignment="1">
      <alignment vertical="center"/>
    </xf>
    <xf numFmtId="0" fontId="39" fillId="0" borderId="0" xfId="37" quotePrefix="1" applyFont="1" applyAlignment="1">
      <alignment horizontal="center"/>
    </xf>
    <xf numFmtId="0" fontId="0" fillId="0" borderId="10" xfId="0" applyBorder="1"/>
    <xf numFmtId="0" fontId="23" fillId="0" borderId="10" xfId="0" applyFont="1" applyBorder="1"/>
    <xf numFmtId="0" fontId="45" fillId="0" borderId="0" xfId="37" applyFont="1" applyFill="1" applyBorder="1" applyAlignment="1">
      <alignment horizontal="center" vertical="center" wrapText="1"/>
    </xf>
    <xf numFmtId="0" fontId="45" fillId="0" borderId="0" xfId="37" applyFont="1" applyFill="1" applyBorder="1" applyAlignment="1">
      <alignment horizontal="center" vertical="center"/>
    </xf>
    <xf numFmtId="0" fontId="21" fillId="0" borderId="0" xfId="0" applyFont="1" applyAlignment="1">
      <alignment horizontal="center"/>
    </xf>
    <xf numFmtId="0" fontId="21" fillId="0" borderId="0" xfId="0" applyFont="1" applyAlignment="1">
      <alignment horizontal="center" vertical="center"/>
    </xf>
    <xf numFmtId="0" fontId="20" fillId="0" borderId="0" xfId="0" applyFont="1" applyAlignment="1">
      <alignment horizontal="center" vertical="center"/>
    </xf>
    <xf numFmtId="0" fontId="23" fillId="0" borderId="10"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0" xfId="0" applyFont="1" applyBorder="1" applyAlignment="1">
      <alignment horizontal="center"/>
    </xf>
    <xf numFmtId="0" fontId="22" fillId="0" borderId="0" xfId="0" applyFont="1" applyAlignment="1">
      <alignment horizontal="center"/>
    </xf>
    <xf numFmtId="0" fontId="21" fillId="0" borderId="0" xfId="0" applyFont="1" applyAlignment="1">
      <alignment horizontal="center" vertical="center" wrapText="1"/>
    </xf>
    <xf numFmtId="0" fontId="21" fillId="0" borderId="0" xfId="0" applyFont="1" applyFill="1" applyAlignment="1">
      <alignment horizontal="center"/>
    </xf>
    <xf numFmtId="0" fontId="24" fillId="0" borderId="0" xfId="0" applyFont="1" applyAlignment="1">
      <alignment horizontal="center" vertical="center"/>
    </xf>
    <xf numFmtId="0" fontId="21" fillId="0" borderId="0" xfId="0" applyFont="1" applyFill="1" applyAlignment="1"/>
    <xf numFmtId="0" fontId="23" fillId="0" borderId="0" xfId="0" applyFont="1" applyBorder="1" applyAlignment="1">
      <alignment horizontal="center" vertical="center"/>
    </xf>
    <xf numFmtId="0" fontId="23" fillId="0" borderId="0" xfId="0" applyFont="1" applyAlignment="1">
      <alignment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0" borderId="0" xfId="0" applyFont="1" applyAlignment="1">
      <alignment horizontal="center" vertical="center" wrapText="1"/>
    </xf>
    <xf numFmtId="0" fontId="23" fillId="0" borderId="10" xfId="0" quotePrefix="1" applyFont="1" applyBorder="1" applyAlignment="1">
      <alignment horizontal="left" vertical="center" wrapText="1"/>
    </xf>
    <xf numFmtId="0" fontId="52" fillId="0" borderId="0" xfId="0" applyFont="1" applyAlignment="1"/>
    <xf numFmtId="0" fontId="39" fillId="0" borderId="0" xfId="37" applyFont="1" applyFill="1" applyAlignment="1">
      <alignment horizontal="center"/>
    </xf>
    <xf numFmtId="0" fontId="43" fillId="0" borderId="0" xfId="37" applyFont="1" applyFill="1" applyAlignment="1">
      <alignment horizontal="center"/>
    </xf>
    <xf numFmtId="0" fontId="44" fillId="0" borderId="0" xfId="37" applyFont="1" applyAlignment="1">
      <alignment horizontal="center"/>
    </xf>
    <xf numFmtId="0" fontId="45" fillId="0" borderId="11" xfId="37" applyFont="1" applyFill="1" applyBorder="1" applyAlignment="1">
      <alignment horizontal="center" vertical="center"/>
    </xf>
    <xf numFmtId="0" fontId="45" fillId="0" borderId="13" xfId="37" applyFont="1" applyFill="1" applyBorder="1" applyAlignment="1">
      <alignment horizontal="center" vertical="center" wrapText="1"/>
    </xf>
    <xf numFmtId="0" fontId="45" fillId="0" borderId="13" xfId="37" applyFont="1" applyFill="1" applyBorder="1" applyAlignment="1">
      <alignment horizontal="center" vertical="center"/>
    </xf>
    <xf numFmtId="0" fontId="45" fillId="0" borderId="14" xfId="37" applyFont="1" applyFill="1" applyBorder="1" applyAlignment="1">
      <alignment horizontal="center" vertical="center"/>
    </xf>
    <xf numFmtId="0" fontId="45" fillId="0" borderId="0" xfId="37" applyFont="1" applyBorder="1" applyAlignment="1"/>
    <xf numFmtId="0" fontId="45" fillId="0" borderId="0" xfId="37" applyFont="1" applyBorder="1" applyAlignment="1">
      <alignment vertical="center"/>
    </xf>
    <xf numFmtId="0" fontId="45" fillId="0" borderId="0" xfId="37" quotePrefix="1" applyFont="1" applyBorder="1" applyAlignment="1">
      <alignment horizontal="center"/>
    </xf>
    <xf numFmtId="0" fontId="45" fillId="0" borderId="0" xfId="37" applyFont="1"/>
    <xf numFmtId="0" fontId="45" fillId="0" borderId="0" xfId="37" applyFont="1" applyAlignment="1">
      <alignment horizontal="center"/>
    </xf>
    <xf numFmtId="0" fontId="44" fillId="0" borderId="0" xfId="37" applyFont="1" applyAlignment="1">
      <alignment horizontal="left"/>
    </xf>
    <xf numFmtId="0" fontId="44" fillId="0" borderId="0" xfId="37" applyFont="1" applyAlignment="1"/>
    <xf numFmtId="0" fontId="53" fillId="0" borderId="0" xfId="37" applyFont="1" applyAlignment="1"/>
    <xf numFmtId="0" fontId="53" fillId="0" borderId="0" xfId="37" applyFont="1" applyAlignment="1">
      <alignment horizontal="center"/>
    </xf>
    <xf numFmtId="0" fontId="44" fillId="0" borderId="0" xfId="37" applyFont="1" applyBorder="1" applyAlignment="1"/>
    <xf numFmtId="0" fontId="44" fillId="0" borderId="0" xfId="37" applyFont="1" applyBorder="1" applyAlignment="1">
      <alignment horizontal="center"/>
    </xf>
    <xf numFmtId="0" fontId="44" fillId="0" borderId="0" xfId="37" applyFont="1" applyBorder="1" applyAlignment="1">
      <alignment horizontal="left"/>
    </xf>
    <xf numFmtId="0" fontId="45" fillId="0" borderId="0" xfId="37" applyFont="1" applyFill="1"/>
    <xf numFmtId="0" fontId="45" fillId="0" borderId="0" xfId="37" applyFont="1" applyFill="1" applyBorder="1"/>
    <xf numFmtId="0" fontId="24" fillId="0" borderId="0" xfId="0" applyFont="1" applyAlignment="1">
      <alignment horizontal="center"/>
    </xf>
    <xf numFmtId="0" fontId="21" fillId="0" borderId="0" xfId="0" applyFont="1" applyAlignment="1">
      <alignment horizontal="center"/>
    </xf>
    <xf numFmtId="0" fontId="28" fillId="0" borderId="0" xfId="0" applyFont="1" applyAlignment="1">
      <alignment horizontal="center"/>
    </xf>
    <xf numFmtId="0" fontId="23" fillId="0" borderId="30" xfId="0" applyFont="1" applyBorder="1" applyAlignment="1">
      <alignment horizontal="left" vertical="center"/>
    </xf>
    <xf numFmtId="0" fontId="23" fillId="0" borderId="10" xfId="0" applyFont="1" applyBorder="1" applyAlignment="1">
      <alignment horizontal="center" vertical="center" wrapText="1"/>
    </xf>
    <xf numFmtId="0" fontId="23" fillId="0" borderId="15" xfId="0" applyFont="1" applyBorder="1" applyAlignment="1">
      <alignment horizontal="center" vertical="center" wrapText="1"/>
    </xf>
    <xf numFmtId="0" fontId="20" fillId="0" borderId="0" xfId="0" applyFont="1" applyAlignment="1">
      <alignment horizontal="center"/>
    </xf>
    <xf numFmtId="0" fontId="29" fillId="0" borderId="0" xfId="0" applyFont="1" applyAlignment="1">
      <alignment horizontal="center"/>
    </xf>
    <xf numFmtId="0" fontId="21" fillId="0" borderId="0" xfId="0" applyFont="1" applyAlignment="1">
      <alignment horizontal="left"/>
    </xf>
    <xf numFmtId="0" fontId="22" fillId="0" borderId="0" xfId="0" applyFont="1" applyAlignment="1">
      <alignment horizontal="center"/>
    </xf>
    <xf numFmtId="0" fontId="24" fillId="0" borderId="0" xfId="0" applyFont="1" applyAlignment="1">
      <alignment horizontal="left"/>
    </xf>
    <xf numFmtId="0" fontId="23" fillId="0" borderId="10" xfId="0" applyFont="1" applyBorder="1" applyAlignment="1">
      <alignment horizontal="center" vertical="center"/>
    </xf>
    <xf numFmtId="0" fontId="1" fillId="0" borderId="10" xfId="0" applyFont="1" applyBorder="1" applyAlignment="1">
      <alignment horizontal="center" vertical="center" wrapText="1"/>
    </xf>
    <xf numFmtId="0" fontId="21" fillId="0" borderId="0" xfId="0" applyFont="1" applyAlignment="1">
      <alignment horizontal="center" readingOrder="1"/>
    </xf>
    <xf numFmtId="0" fontId="24" fillId="0" borderId="15" xfId="0" applyFont="1" applyBorder="1" applyAlignment="1">
      <alignment horizontal="center" vertical="center" wrapText="1"/>
    </xf>
    <xf numFmtId="0" fontId="23" fillId="0" borderId="10" xfId="0" applyFont="1" applyBorder="1" applyAlignment="1">
      <alignment horizontal="left" vertical="center" wrapText="1"/>
    </xf>
    <xf numFmtId="0" fontId="0" fillId="0" borderId="10" xfId="0" applyBorder="1" applyAlignment="1">
      <alignment horizontal="center" vertical="center"/>
    </xf>
    <xf numFmtId="0" fontId="0" fillId="0" borderId="10" xfId="0" applyBorder="1" applyAlignment="1">
      <alignment horizontal="center"/>
    </xf>
    <xf numFmtId="0" fontId="23" fillId="0" borderId="10" xfId="0" applyFont="1" applyBorder="1" applyAlignment="1">
      <alignment horizontal="left"/>
    </xf>
    <xf numFmtId="0" fontId="23" fillId="0" borderId="10" xfId="0" applyFont="1" applyBorder="1" applyAlignment="1">
      <alignment vertical="center" wrapText="1"/>
    </xf>
    <xf numFmtId="0" fontId="23" fillId="0" borderId="10" xfId="0" applyFont="1" applyBorder="1" applyAlignment="1">
      <alignment vertical="center"/>
    </xf>
    <xf numFmtId="0" fontId="0" fillId="0" borderId="10" xfId="0" applyBorder="1" applyAlignment="1">
      <alignment vertical="center"/>
    </xf>
    <xf numFmtId="0" fontId="23" fillId="0" borderId="10" xfId="0" applyFont="1" applyBorder="1" applyAlignment="1">
      <alignment horizontal="left" vertical="center"/>
    </xf>
    <xf numFmtId="0" fontId="23" fillId="0" borderId="15" xfId="0" applyFont="1" applyBorder="1" applyAlignment="1">
      <alignment vertical="center" wrapText="1"/>
    </xf>
    <xf numFmtId="0" fontId="1" fillId="0" borderId="0" xfId="0" applyFont="1" applyBorder="1" applyAlignment="1">
      <alignment horizontal="center"/>
    </xf>
    <xf numFmtId="0" fontId="33" fillId="0" borderId="0" xfId="0" applyFont="1" applyAlignment="1">
      <alignment vertical="center" wrapText="1"/>
    </xf>
    <xf numFmtId="0" fontId="22" fillId="0" borderId="0" xfId="0" applyFont="1" applyAlignment="1">
      <alignment vertical="center" wrapText="1"/>
    </xf>
    <xf numFmtId="0" fontId="33" fillId="0" borderId="0" xfId="0" applyFont="1"/>
    <xf numFmtId="0" fontId="33" fillId="0" borderId="10" xfId="0" applyFont="1" applyBorder="1" applyAlignment="1">
      <alignment horizontal="center" vertical="center" wrapText="1"/>
    </xf>
    <xf numFmtId="0" fontId="33" fillId="0" borderId="10" xfId="0" applyFont="1" applyBorder="1" applyAlignment="1">
      <alignment horizontal="center" vertical="center"/>
    </xf>
    <xf numFmtId="0" fontId="0" fillId="0" borderId="30" xfId="0" applyBorder="1"/>
    <xf numFmtId="0" fontId="0" fillId="0" borderId="30" xfId="0" applyBorder="1" applyAlignment="1">
      <alignment horizontal="center" vertical="center"/>
    </xf>
    <xf numFmtId="1" fontId="0" fillId="0" borderId="30" xfId="0" applyNumberFormat="1" applyBorder="1" applyAlignment="1">
      <alignment horizontal="center" vertical="center"/>
    </xf>
    <xf numFmtId="164" fontId="0" fillId="0" borderId="30" xfId="0" applyNumberFormat="1" applyBorder="1" applyAlignment="1">
      <alignment horizontal="center" vertical="center"/>
    </xf>
    <xf numFmtId="0" fontId="0" fillId="0" borderId="31" xfId="0" applyBorder="1" applyAlignment="1">
      <alignment horizontal="center" vertical="center"/>
    </xf>
    <xf numFmtId="0" fontId="0" fillId="0" borderId="15" xfId="0" applyBorder="1" applyAlignment="1">
      <alignment horizontal="center" vertical="center"/>
    </xf>
    <xf numFmtId="0" fontId="0" fillId="0" borderId="31" xfId="0" applyBorder="1"/>
    <xf numFmtId="0" fontId="55" fillId="0" borderId="32" xfId="37" applyFont="1" applyBorder="1" applyAlignment="1">
      <alignment horizontal="center" vertical="center" wrapText="1"/>
    </xf>
    <xf numFmtId="0" fontId="45" fillId="0" borderId="33" xfId="37" applyFont="1" applyBorder="1" applyAlignment="1">
      <alignment horizontal="center" vertical="center" wrapText="1"/>
    </xf>
    <xf numFmtId="0" fontId="45" fillId="0" borderId="33" xfId="37" applyFont="1" applyBorder="1" applyAlignment="1">
      <alignment horizontal="center" vertical="center"/>
    </xf>
    <xf numFmtId="0" fontId="45" fillId="0" borderId="30" xfId="37" applyFont="1" applyBorder="1" applyAlignment="1">
      <alignment horizontal="center" vertical="center" wrapText="1"/>
    </xf>
    <xf numFmtId="0" fontId="45" fillId="0" borderId="32" xfId="37" applyFont="1" applyBorder="1" applyAlignment="1">
      <alignment horizontal="center" vertical="center" wrapText="1"/>
    </xf>
    <xf numFmtId="0" fontId="45" fillId="0" borderId="32" xfId="37" applyFont="1" applyFill="1" applyBorder="1" applyAlignment="1">
      <alignment horizontal="center" vertical="center" wrapText="1"/>
    </xf>
    <xf numFmtId="0" fontId="45" fillId="0" borderId="32" xfId="37" applyFont="1" applyFill="1" applyBorder="1" applyAlignment="1">
      <alignment horizontal="center" vertical="center"/>
    </xf>
    <xf numFmtId="0" fontId="45" fillId="0" borderId="33" xfId="37" applyFont="1" applyFill="1" applyBorder="1" applyAlignment="1">
      <alignment horizontal="center" vertical="center" wrapText="1"/>
    </xf>
    <xf numFmtId="0" fontId="45" fillId="0" borderId="33" xfId="37" applyFont="1" applyFill="1" applyBorder="1" applyAlignment="1">
      <alignment horizontal="center" vertical="center"/>
    </xf>
    <xf numFmtId="0" fontId="45" fillId="0" borderId="30" xfId="37" applyFont="1" applyFill="1" applyBorder="1" applyAlignment="1">
      <alignment horizontal="center" vertical="center" wrapText="1"/>
    </xf>
    <xf numFmtId="0" fontId="45" fillId="0" borderId="30" xfId="37" applyFont="1" applyFill="1" applyBorder="1" applyAlignment="1">
      <alignment horizontal="center" vertical="center"/>
    </xf>
    <xf numFmtId="0" fontId="55" fillId="0" borderId="32" xfId="37" applyFont="1" applyFill="1" applyBorder="1" applyAlignment="1">
      <alignment horizontal="center" vertical="center" wrapText="1"/>
    </xf>
    <xf numFmtId="0" fontId="45" fillId="0" borderId="35" xfId="37" applyFont="1" applyFill="1" applyBorder="1" applyAlignment="1">
      <alignment horizontal="center" vertical="center" wrapText="1"/>
    </xf>
    <xf numFmtId="0" fontId="45" fillId="0" borderId="34" xfId="37" applyFont="1" applyFill="1" applyBorder="1" applyAlignment="1">
      <alignment horizontal="center" vertical="center" wrapText="1"/>
    </xf>
    <xf numFmtId="0" fontId="23" fillId="0" borderId="0" xfId="0" applyFont="1" applyBorder="1" applyAlignment="1">
      <alignment horizontal="left" vertical="center" wrapText="1"/>
    </xf>
    <xf numFmtId="0" fontId="23" fillId="0" borderId="0" xfId="0" applyFont="1" applyAlignment="1">
      <alignment vertical="center" wrapText="1"/>
    </xf>
    <xf numFmtId="0" fontId="21" fillId="0" borderId="0" xfId="0" applyFont="1" applyAlignment="1">
      <alignment wrapText="1"/>
    </xf>
    <xf numFmtId="0" fontId="21" fillId="0" borderId="0" xfId="0" applyFont="1" applyAlignment="1">
      <alignment horizontal="center" wrapText="1"/>
    </xf>
    <xf numFmtId="0" fontId="23" fillId="0" borderId="0" xfId="0" applyFont="1" applyBorder="1" applyAlignment="1">
      <alignment wrapText="1"/>
    </xf>
    <xf numFmtId="0" fontId="23" fillId="0" borderId="0" xfId="0" applyFont="1" applyBorder="1" applyAlignment="1">
      <alignment horizontal="left" wrapText="1"/>
    </xf>
    <xf numFmtId="0" fontId="23" fillId="0" borderId="0" xfId="0" applyFont="1" applyAlignment="1">
      <alignment wrapText="1"/>
    </xf>
    <xf numFmtId="0" fontId="24" fillId="0" borderId="0" xfId="0" applyFont="1" applyAlignment="1">
      <alignment wrapText="1"/>
    </xf>
    <xf numFmtId="0" fontId="23" fillId="0" borderId="0" xfId="0" applyFont="1" applyAlignment="1">
      <alignment horizontal="left" vertical="center" wrapText="1"/>
    </xf>
    <xf numFmtId="0" fontId="24" fillId="0" borderId="0" xfId="0" applyFont="1" applyAlignment="1">
      <alignment horizontal="left" vertical="center" wrapText="1"/>
    </xf>
    <xf numFmtId="0" fontId="21" fillId="0" borderId="0" xfId="0" applyFont="1" applyAlignment="1">
      <alignment horizontal="left" vertical="center" wrapText="1"/>
    </xf>
    <xf numFmtId="0" fontId="23" fillId="0" borderId="0" xfId="0" applyFont="1" applyBorder="1" applyAlignment="1">
      <alignment horizontal="left" vertical="center" wrapText="1"/>
    </xf>
    <xf numFmtId="0" fontId="23" fillId="0" borderId="0" xfId="0" applyFont="1" applyBorder="1" applyAlignment="1">
      <alignment horizontal="center" vertical="center" wrapText="1"/>
    </xf>
    <xf numFmtId="0" fontId="45" fillId="0" borderId="0" xfId="37" applyFont="1" applyFill="1" applyAlignment="1">
      <alignment horizontal="center"/>
    </xf>
    <xf numFmtId="0" fontId="33" fillId="0" borderId="0" xfId="37" applyFont="1" applyFill="1" applyAlignment="1">
      <alignment horizontal="center"/>
    </xf>
    <xf numFmtId="0" fontId="32" fillId="0" borderId="0" xfId="37" applyFont="1" applyFill="1" applyAlignment="1">
      <alignment horizontal="center"/>
    </xf>
    <xf numFmtId="0" fontId="22" fillId="0" borderId="0" xfId="37" applyFont="1" applyFill="1" applyAlignment="1">
      <alignment horizontal="center"/>
    </xf>
    <xf numFmtId="0" fontId="21" fillId="0" borderId="0" xfId="37" applyFont="1" applyFill="1" applyAlignment="1">
      <alignment horizontal="center"/>
    </xf>
    <xf numFmtId="0" fontId="32" fillId="0" borderId="0" xfId="37" applyFont="1" applyFill="1"/>
    <xf numFmtId="0" fontId="22" fillId="0" borderId="0" xfId="37" applyFont="1" applyFill="1"/>
    <xf numFmtId="0" fontId="21" fillId="0" borderId="0" xfId="37" applyFont="1" applyFill="1"/>
    <xf numFmtId="0" fontId="35" fillId="0" borderId="0" xfId="37" applyFont="1" applyFill="1" applyAlignment="1">
      <alignment horizontal="left"/>
    </xf>
    <xf numFmtId="0" fontId="34" fillId="0" borderId="0" xfId="37" applyFont="1" applyFill="1" applyAlignment="1">
      <alignment horizontal="center"/>
    </xf>
    <xf numFmtId="0" fontId="49" fillId="0" borderId="0" xfId="37" applyFont="1" applyFill="1"/>
    <xf numFmtId="0" fontId="46" fillId="0" borderId="0" xfId="37" applyFont="1" applyFill="1" applyAlignment="1">
      <alignment horizontal="center"/>
    </xf>
    <xf numFmtId="0" fontId="36" fillId="0" borderId="0" xfId="37" applyFont="1" applyFill="1"/>
    <xf numFmtId="0" fontId="38" fillId="0" borderId="0" xfId="37" applyFont="1" applyFill="1"/>
    <xf numFmtId="0" fontId="39" fillId="0" borderId="0" xfId="37" applyFont="1" applyFill="1"/>
    <xf numFmtId="0" fontId="40" fillId="0" borderId="0" xfId="37" applyFont="1" applyFill="1"/>
    <xf numFmtId="0" fontId="39" fillId="0" borderId="0" xfId="37" applyFont="1" applyFill="1" applyAlignment="1">
      <alignment vertical="center"/>
    </xf>
    <xf numFmtId="0" fontId="39" fillId="0" borderId="0" xfId="37" quotePrefix="1" applyFont="1" applyFill="1" applyAlignment="1">
      <alignment horizontal="center"/>
    </xf>
    <xf numFmtId="0" fontId="41" fillId="0" borderId="0" xfId="37" applyFont="1" applyFill="1" applyAlignment="1">
      <alignment horizontal="left"/>
    </xf>
    <xf numFmtId="0" fontId="43" fillId="0" borderId="0" xfId="37" applyFont="1" applyFill="1"/>
    <xf numFmtId="0" fontId="37" fillId="0" borderId="0" xfId="37" applyFont="1" applyFill="1" applyAlignment="1">
      <alignment horizontal="center"/>
    </xf>
    <xf numFmtId="0" fontId="33" fillId="0" borderId="0" xfId="37" applyFont="1" applyAlignment="1">
      <alignment horizontal="center"/>
    </xf>
    <xf numFmtId="0" fontId="22" fillId="0" borderId="0" xfId="37" applyFont="1" applyAlignment="1">
      <alignment horizontal="center"/>
    </xf>
    <xf numFmtId="0" fontId="45" fillId="0" borderId="35" xfId="37" applyFont="1" applyBorder="1" applyAlignment="1">
      <alignment horizontal="center" vertical="center" wrapText="1"/>
    </xf>
    <xf numFmtId="0" fontId="45" fillId="0" borderId="35" xfId="37" applyFont="1" applyBorder="1" applyAlignment="1">
      <alignment horizontal="center" vertical="center"/>
    </xf>
    <xf numFmtId="0" fontId="45" fillId="0" borderId="34" xfId="37" applyFont="1" applyBorder="1" applyAlignment="1">
      <alignment horizontal="center" vertical="center" wrapText="1"/>
    </xf>
    <xf numFmtId="0" fontId="45" fillId="0" borderId="34" xfId="37" applyFont="1" applyBorder="1" applyAlignment="1">
      <alignment horizontal="center" vertical="center"/>
    </xf>
    <xf numFmtId="0" fontId="44" fillId="0" borderId="0" xfId="37" applyFont="1" applyAlignment="1">
      <alignment horizontal="center" vertical="center"/>
    </xf>
    <xf numFmtId="0" fontId="44" fillId="0" borderId="0" xfId="37" applyFont="1" applyAlignment="1">
      <alignment horizontal="center" vertical="center" wrapText="1"/>
    </xf>
    <xf numFmtId="0" fontId="44" fillId="0" borderId="35" xfId="37" applyFont="1" applyBorder="1" applyAlignment="1">
      <alignment horizontal="center" vertical="center"/>
    </xf>
    <xf numFmtId="0" fontId="44" fillId="0" borderId="33" xfId="37" applyFont="1" applyBorder="1" applyAlignment="1">
      <alignment horizontal="center" vertical="center"/>
    </xf>
    <xf numFmtId="0" fontId="44" fillId="0" borderId="34" xfId="37" applyFont="1" applyBorder="1" applyAlignment="1">
      <alignment horizontal="center" vertical="center"/>
    </xf>
    <xf numFmtId="0" fontId="44" fillId="0" borderId="35" xfId="37" applyFont="1" applyBorder="1" applyAlignment="1">
      <alignment horizontal="center" vertical="center" wrapText="1"/>
    </xf>
    <xf numFmtId="0" fontId="44" fillId="0" borderId="34" xfId="37" applyFont="1" applyBorder="1" applyAlignment="1">
      <alignment horizontal="center" vertical="center" wrapText="1"/>
    </xf>
    <xf numFmtId="0" fontId="20" fillId="24" borderId="0" xfId="37" applyFont="1" applyFill="1" applyAlignment="1">
      <alignment horizontal="center"/>
    </xf>
    <xf numFmtId="0" fontId="20" fillId="27" borderId="0" xfId="37" applyFont="1" applyFill="1" applyAlignment="1">
      <alignment horizontal="center"/>
    </xf>
    <xf numFmtId="0" fontId="20" fillId="28" borderId="0" xfId="37" applyFont="1" applyFill="1" applyAlignment="1">
      <alignment horizontal="center"/>
    </xf>
    <xf numFmtId="0" fontId="20" fillId="29" borderId="0" xfId="37" applyFont="1" applyFill="1" applyAlignment="1">
      <alignment horizontal="center"/>
    </xf>
    <xf numFmtId="0" fontId="20" fillId="25" borderId="0" xfId="37" applyFont="1" applyFill="1" applyAlignment="1">
      <alignment horizontal="center"/>
    </xf>
    <xf numFmtId="0" fontId="45" fillId="24" borderId="11" xfId="37" applyFont="1" applyFill="1" applyBorder="1" applyAlignment="1">
      <alignment horizontal="center" vertical="center" wrapText="1"/>
    </xf>
    <xf numFmtId="0" fontId="45" fillId="24" borderId="35" xfId="37" applyFont="1" applyFill="1" applyBorder="1" applyAlignment="1">
      <alignment horizontal="center" vertical="center" wrapText="1"/>
    </xf>
    <xf numFmtId="0" fontId="45" fillId="24" borderId="11" xfId="37" applyFont="1" applyFill="1" applyBorder="1" applyAlignment="1">
      <alignment horizontal="center" vertical="center"/>
    </xf>
    <xf numFmtId="0" fontId="45" fillId="24" borderId="14" xfId="37" applyFont="1" applyFill="1" applyBorder="1" applyAlignment="1">
      <alignment horizontal="center" vertical="center" wrapText="1"/>
    </xf>
    <xf numFmtId="0" fontId="45" fillId="24" borderId="34" xfId="37" applyFont="1" applyFill="1" applyBorder="1" applyAlignment="1">
      <alignment horizontal="center" vertical="center" wrapText="1"/>
    </xf>
    <xf numFmtId="0" fontId="45" fillId="24" borderId="14" xfId="37" applyFont="1" applyFill="1" applyBorder="1" applyAlignment="1">
      <alignment horizontal="center" vertical="center"/>
    </xf>
    <xf numFmtId="0" fontId="45" fillId="24" borderId="13" xfId="37" applyFont="1" applyFill="1" applyBorder="1" applyAlignment="1">
      <alignment horizontal="center" vertical="center" wrapText="1"/>
    </xf>
    <xf numFmtId="0" fontId="45" fillId="24" borderId="13" xfId="37" applyFont="1" applyFill="1" applyBorder="1" applyAlignment="1">
      <alignment horizontal="center" vertical="center"/>
    </xf>
    <xf numFmtId="0" fontId="59" fillId="0" borderId="35" xfId="37" applyFont="1" applyBorder="1" applyAlignment="1">
      <alignment horizontal="center" vertical="center" wrapText="1"/>
    </xf>
    <xf numFmtId="0" fontId="59" fillId="0" borderId="34" xfId="37" applyFont="1" applyBorder="1" applyAlignment="1">
      <alignment horizontal="center" vertical="center" wrapText="1"/>
    </xf>
    <xf numFmtId="0" fontId="59" fillId="0" borderId="21" xfId="37" applyFont="1" applyBorder="1" applyAlignment="1">
      <alignment horizontal="center" vertical="center" wrapText="1"/>
    </xf>
    <xf numFmtId="0" fontId="45" fillId="0" borderId="21" xfId="37" applyFont="1" applyBorder="1" applyAlignment="1">
      <alignment horizontal="center" vertical="center" wrapText="1"/>
    </xf>
    <xf numFmtId="0" fontId="45" fillId="0" borderId="15" xfId="37" applyFont="1" applyBorder="1" applyAlignment="1">
      <alignment horizontal="center" vertical="center" wrapText="1"/>
    </xf>
    <xf numFmtId="0" fontId="45" fillId="0" borderId="16" xfId="37" applyFont="1" applyBorder="1" applyAlignment="1">
      <alignment horizontal="center" vertical="center" wrapText="1"/>
    </xf>
    <xf numFmtId="0" fontId="56" fillId="0" borderId="10" xfId="0" applyFont="1" applyBorder="1" applyAlignment="1">
      <alignment horizontal="center" vertical="center" wrapText="1"/>
    </xf>
    <xf numFmtId="0" fontId="45" fillId="0" borderId="10" xfId="37" applyFont="1" applyBorder="1" applyAlignment="1">
      <alignment horizontal="center" vertical="center" wrapText="1"/>
    </xf>
    <xf numFmtId="0" fontId="44" fillId="0" borderId="16" xfId="37" applyFont="1" applyBorder="1" applyAlignment="1">
      <alignment horizontal="center" vertical="center" wrapText="1"/>
    </xf>
    <xf numFmtId="0" fontId="24" fillId="0" borderId="0" xfId="0" applyFont="1" applyBorder="1" applyAlignment="1">
      <alignment horizontal="center" vertical="center" wrapText="1"/>
    </xf>
    <xf numFmtId="0" fontId="45" fillId="0" borderId="35" xfId="0" applyFont="1" applyBorder="1" applyAlignment="1">
      <alignment horizontal="center" vertical="center" wrapText="1"/>
    </xf>
    <xf numFmtId="0" fontId="45" fillId="25" borderId="11" xfId="37" applyFont="1" applyFill="1" applyBorder="1" applyAlignment="1">
      <alignment horizontal="center" vertical="center" wrapText="1"/>
    </xf>
    <xf numFmtId="0" fontId="45" fillId="25" borderId="35" xfId="37" applyFont="1" applyFill="1" applyBorder="1" applyAlignment="1">
      <alignment horizontal="center" vertical="center" wrapText="1"/>
    </xf>
    <xf numFmtId="0" fontId="45" fillId="25" borderId="11" xfId="37" applyFont="1" applyFill="1" applyBorder="1" applyAlignment="1">
      <alignment horizontal="center" vertical="center"/>
    </xf>
    <xf numFmtId="0" fontId="45" fillId="25" borderId="13" xfId="37" applyFont="1" applyFill="1" applyBorder="1" applyAlignment="1">
      <alignment horizontal="center" vertical="center" wrapText="1"/>
    </xf>
    <xf numFmtId="0" fontId="45" fillId="25" borderId="33" xfId="37" applyFont="1" applyFill="1" applyBorder="1" applyAlignment="1">
      <alignment horizontal="center" vertical="center" wrapText="1"/>
    </xf>
    <xf numFmtId="0" fontId="45" fillId="25" borderId="13" xfId="37" applyFont="1" applyFill="1" applyBorder="1" applyAlignment="1">
      <alignment horizontal="center" vertical="center"/>
    </xf>
    <xf numFmtId="0" fontId="45" fillId="25" borderId="14" xfId="37" applyFont="1" applyFill="1" applyBorder="1" applyAlignment="1">
      <alignment horizontal="center" vertical="center" wrapText="1"/>
    </xf>
    <xf numFmtId="0" fontId="45" fillId="25" borderId="34" xfId="37" applyFont="1" applyFill="1" applyBorder="1" applyAlignment="1">
      <alignment horizontal="center" vertical="center" wrapText="1"/>
    </xf>
    <xf numFmtId="0" fontId="45" fillId="25" borderId="14" xfId="37" applyFont="1" applyFill="1" applyBorder="1" applyAlignment="1">
      <alignment horizontal="center" vertical="center"/>
    </xf>
    <xf numFmtId="0" fontId="45" fillId="30" borderId="11" xfId="37" applyFont="1" applyFill="1" applyBorder="1" applyAlignment="1">
      <alignment horizontal="center" vertical="center" wrapText="1"/>
    </xf>
    <xf numFmtId="0" fontId="45" fillId="30" borderId="35" xfId="37" applyFont="1" applyFill="1" applyBorder="1" applyAlignment="1">
      <alignment horizontal="center" vertical="center" wrapText="1"/>
    </xf>
    <xf numFmtId="0" fontId="45" fillId="30" borderId="11" xfId="37" applyFont="1" applyFill="1" applyBorder="1" applyAlignment="1">
      <alignment horizontal="center" vertical="center"/>
    </xf>
    <xf numFmtId="0" fontId="45" fillId="30" borderId="14" xfId="37" applyFont="1" applyFill="1" applyBorder="1" applyAlignment="1">
      <alignment horizontal="center" vertical="center" wrapText="1"/>
    </xf>
    <xf numFmtId="0" fontId="45" fillId="30" borderId="34" xfId="37" applyFont="1" applyFill="1" applyBorder="1" applyAlignment="1">
      <alignment horizontal="center" vertical="center" wrapText="1"/>
    </xf>
    <xf numFmtId="0" fontId="45" fillId="30" borderId="14" xfId="37" applyFont="1" applyFill="1" applyBorder="1" applyAlignment="1">
      <alignment horizontal="center" vertical="center"/>
    </xf>
    <xf numFmtId="0" fontId="23" fillId="27" borderId="35" xfId="0" applyFont="1" applyFill="1" applyBorder="1" applyAlignment="1">
      <alignment horizontal="center" vertical="center"/>
    </xf>
    <xf numFmtId="0" fontId="23" fillId="27" borderId="34" xfId="0" applyFont="1" applyFill="1" applyBorder="1" applyAlignment="1">
      <alignment horizontal="center" vertical="center"/>
    </xf>
    <xf numFmtId="0" fontId="23" fillId="27" borderId="35" xfId="0" applyFont="1" applyFill="1" applyBorder="1"/>
    <xf numFmtId="0" fontId="23" fillId="0" borderId="42" xfId="0" quotePrefix="1" applyFont="1" applyBorder="1" applyAlignment="1">
      <alignment horizontal="center" vertical="center" wrapText="1"/>
    </xf>
    <xf numFmtId="0" fontId="23" fillId="0" borderId="42" xfId="0" quotePrefix="1" applyFont="1" applyBorder="1" applyAlignment="1">
      <alignment horizontal="left" vertical="center" wrapText="1"/>
    </xf>
    <xf numFmtId="0" fontId="23" fillId="0" borderId="42" xfId="0" quotePrefix="1" applyFont="1" applyBorder="1" applyAlignment="1">
      <alignment horizontal="center" vertical="center"/>
    </xf>
    <xf numFmtId="0" fontId="23" fillId="0" borderId="42" xfId="0" applyFont="1" applyBorder="1" applyAlignment="1">
      <alignment horizontal="center" vertical="center"/>
    </xf>
    <xf numFmtId="0" fontId="23" fillId="0" borderId="42" xfId="0" applyFont="1" applyBorder="1" applyAlignment="1">
      <alignment horizontal="center" vertical="center" wrapText="1"/>
    </xf>
    <xf numFmtId="0" fontId="45" fillId="0" borderId="43" xfId="37" applyFont="1" applyBorder="1" applyAlignment="1">
      <alignment horizontal="center" vertical="center" wrapText="1"/>
    </xf>
    <xf numFmtId="0" fontId="33" fillId="0" borderId="43" xfId="37" applyFont="1" applyBorder="1" applyAlignment="1">
      <alignment horizontal="center" vertical="center" wrapText="1"/>
    </xf>
    <xf numFmtId="0" fontId="33" fillId="0" borderId="45" xfId="37" applyFont="1" applyBorder="1" applyAlignment="1">
      <alignment horizontal="center" vertical="center" wrapText="1"/>
    </xf>
    <xf numFmtId="0" fontId="33" fillId="0" borderId="44" xfId="37" applyFont="1" applyBorder="1" applyAlignment="1">
      <alignment horizontal="center" vertical="center" wrapText="1"/>
    </xf>
    <xf numFmtId="0" fontId="45" fillId="0" borderId="45" xfId="37" applyFont="1" applyBorder="1" applyAlignment="1">
      <alignment horizontal="center" vertical="center" wrapText="1"/>
    </xf>
    <xf numFmtId="0" fontId="45" fillId="31" borderId="43" xfId="37" applyFont="1" applyFill="1" applyBorder="1" applyAlignment="1">
      <alignment horizontal="center" vertical="center" wrapText="1"/>
    </xf>
    <xf numFmtId="0" fontId="33" fillId="24" borderId="35" xfId="37" applyFont="1" applyFill="1" applyBorder="1" applyAlignment="1">
      <alignment horizontal="center" vertical="center" wrapText="1"/>
    </xf>
    <xf numFmtId="0" fontId="33" fillId="0" borderId="35" xfId="37" applyFont="1" applyFill="1" applyBorder="1" applyAlignment="1">
      <alignment horizontal="center" vertical="center" wrapText="1"/>
    </xf>
    <xf numFmtId="0" fontId="45" fillId="25" borderId="32" xfId="37" applyFont="1" applyFill="1" applyBorder="1" applyAlignment="1">
      <alignment horizontal="center" vertical="center"/>
    </xf>
    <xf numFmtId="0" fontId="45" fillId="25" borderId="32" xfId="37" applyFont="1" applyFill="1" applyBorder="1" applyAlignment="1">
      <alignment horizontal="center" vertical="center" wrapText="1"/>
    </xf>
    <xf numFmtId="0" fontId="24" fillId="0" borderId="0" xfId="0" applyFont="1" applyBorder="1" applyAlignment="1">
      <alignment horizontal="center" vertical="center" wrapText="1"/>
    </xf>
    <xf numFmtId="0" fontId="45" fillId="0" borderId="15" xfId="37" applyFont="1" applyBorder="1" applyAlignment="1">
      <alignment horizontal="center" vertical="center" wrapText="1"/>
    </xf>
    <xf numFmtId="0" fontId="45" fillId="0" borderId="16" xfId="37" applyFont="1" applyBorder="1" applyAlignment="1">
      <alignment horizontal="center" vertical="center" wrapText="1"/>
    </xf>
    <xf numFmtId="0" fontId="44" fillId="0" borderId="16" xfId="37" applyFont="1" applyBorder="1" applyAlignment="1">
      <alignment horizontal="center" vertical="center" wrapText="1"/>
    </xf>
    <xf numFmtId="0" fontId="59" fillId="0" borderId="21" xfId="37" applyFont="1" applyBorder="1" applyAlignment="1">
      <alignment horizontal="center" vertical="center" wrapText="1"/>
    </xf>
    <xf numFmtId="0" fontId="33" fillId="25" borderId="43" xfId="37" applyFont="1" applyFill="1" applyBorder="1" applyAlignment="1">
      <alignment horizontal="center" vertical="center" wrapText="1"/>
    </xf>
    <xf numFmtId="0" fontId="45" fillId="0" borderId="46" xfId="37" applyFont="1" applyFill="1" applyBorder="1" applyAlignment="1">
      <alignment horizontal="center" vertical="center" wrapText="1"/>
    </xf>
    <xf numFmtId="0" fontId="45" fillId="0" borderId="46" xfId="37" applyFont="1" applyFill="1" applyBorder="1" applyAlignment="1">
      <alignment horizontal="center" vertical="center"/>
    </xf>
    <xf numFmtId="0" fontId="45" fillId="0" borderId="47" xfId="37" applyFont="1" applyFill="1" applyBorder="1" applyAlignment="1">
      <alignment horizontal="center" vertical="center" wrapText="1"/>
    </xf>
    <xf numFmtId="0" fontId="45" fillId="0" borderId="47" xfId="37" applyFont="1" applyFill="1" applyBorder="1" applyAlignment="1">
      <alignment horizontal="center" vertical="center"/>
    </xf>
    <xf numFmtId="0" fontId="23" fillId="0" borderId="10" xfId="0" applyFont="1" applyBorder="1" applyAlignment="1">
      <alignment horizontal="center" vertical="center"/>
    </xf>
    <xf numFmtId="0" fontId="64" fillId="0" borderId="48" xfId="0" applyFont="1" applyBorder="1" applyAlignment="1">
      <alignment horizontal="center" vertical="center" wrapText="1"/>
    </xf>
    <xf numFmtId="0" fontId="64" fillId="0" borderId="48" xfId="0" applyFont="1" applyBorder="1" applyAlignment="1">
      <alignment horizontal="left" vertical="center" wrapText="1"/>
    </xf>
    <xf numFmtId="0" fontId="51" fillId="0" borderId="48" xfId="0" applyFont="1" applyBorder="1" applyAlignment="1">
      <alignment horizontal="center" vertical="center" wrapText="1"/>
    </xf>
    <xf numFmtId="0" fontId="51" fillId="0" borderId="49" xfId="0" applyFont="1" applyBorder="1" applyAlignment="1">
      <alignment horizontal="center" vertical="center" wrapText="1"/>
    </xf>
    <xf numFmtId="0" fontId="23" fillId="0" borderId="50" xfId="0" applyFont="1" applyBorder="1" applyAlignment="1">
      <alignment horizontal="center" vertical="center" wrapText="1"/>
    </xf>
    <xf numFmtId="0" fontId="23" fillId="0" borderId="50" xfId="0" applyFont="1" applyBorder="1" applyAlignment="1">
      <alignment horizontal="left" vertical="center" wrapText="1"/>
    </xf>
    <xf numFmtId="0" fontId="63" fillId="32" borderId="50" xfId="0" applyFont="1" applyFill="1" applyBorder="1" applyAlignment="1">
      <alignment horizontal="left" vertical="center" wrapText="1"/>
    </xf>
    <xf numFmtId="0" fontId="63" fillId="32" borderId="48" xfId="0" applyFont="1" applyFill="1" applyBorder="1" applyAlignment="1">
      <alignment horizontal="left" vertical="center" wrapText="1"/>
    </xf>
    <xf numFmtId="0" fontId="20" fillId="0" borderId="0" xfId="0" applyFont="1" applyAlignment="1">
      <alignment horizontal="center" vertical="center"/>
    </xf>
    <xf numFmtId="0" fontId="21" fillId="0" borderId="0" xfId="0" applyFont="1" applyAlignment="1">
      <alignment horizontal="center" vertical="center"/>
    </xf>
    <xf numFmtId="0" fontId="21" fillId="0" borderId="0" xfId="0" applyFont="1" applyAlignment="1">
      <alignment horizontal="center"/>
    </xf>
    <xf numFmtId="0" fontId="45" fillId="24" borderId="43" xfId="37" applyFont="1" applyFill="1" applyBorder="1" applyAlignment="1">
      <alignment horizontal="center" vertical="center" wrapText="1"/>
    </xf>
    <xf numFmtId="0" fontId="20" fillId="0" borderId="10" xfId="0" applyFont="1" applyBorder="1" applyAlignment="1">
      <alignment horizontal="center" vertical="center" wrapText="1"/>
    </xf>
    <xf numFmtId="0" fontId="20" fillId="0" borderId="10" xfId="0" applyFont="1" applyFill="1" applyBorder="1" applyAlignment="1">
      <alignment horizontal="center" vertical="center" wrapText="1"/>
    </xf>
    <xf numFmtId="0" fontId="20" fillId="0" borderId="0" xfId="0" applyFont="1" applyFill="1" applyBorder="1" applyAlignment="1">
      <alignment horizontal="center" vertical="center" wrapText="1"/>
    </xf>
    <xf numFmtId="0" fontId="20" fillId="0" borderId="10" xfId="0" quotePrefix="1" applyFont="1" applyBorder="1" applyAlignment="1">
      <alignment horizontal="center" vertical="center" wrapText="1"/>
    </xf>
    <xf numFmtId="0" fontId="20" fillId="0" borderId="10" xfId="0" quotePrefix="1" applyFont="1" applyFill="1" applyBorder="1" applyAlignment="1">
      <alignment horizontal="left" vertical="center" wrapText="1"/>
    </xf>
    <xf numFmtId="0" fontId="20" fillId="0" borderId="10" xfId="0" quotePrefix="1" applyFont="1" applyBorder="1" applyAlignment="1">
      <alignment horizontal="left" vertical="center"/>
    </xf>
    <xf numFmtId="0" fontId="20" fillId="0" borderId="10" xfId="0" applyFont="1" applyFill="1" applyBorder="1" applyAlignment="1">
      <alignment horizontal="center" vertical="center"/>
    </xf>
    <xf numFmtId="0" fontId="65" fillId="0" borderId="10" xfId="0" applyFont="1" applyFill="1" applyBorder="1" applyAlignment="1">
      <alignment horizontal="left" vertical="center"/>
    </xf>
    <xf numFmtId="0" fontId="20" fillId="0" borderId="10" xfId="0" applyFont="1" applyFill="1" applyBorder="1" applyAlignment="1">
      <alignment horizontal="left" vertical="center" wrapText="1"/>
    </xf>
    <xf numFmtId="0" fontId="20" fillId="0" borderId="10" xfId="0" applyFont="1" applyFill="1" applyBorder="1" applyAlignment="1">
      <alignment horizontal="left" vertical="center"/>
    </xf>
    <xf numFmtId="0" fontId="65" fillId="0" borderId="10" xfId="0" applyFont="1" applyFill="1" applyBorder="1" applyAlignment="1">
      <alignment horizontal="left" vertical="center" wrapText="1"/>
    </xf>
    <xf numFmtId="0" fontId="64" fillId="0" borderId="10" xfId="0" applyFont="1" applyFill="1" applyBorder="1" applyAlignment="1">
      <alignment horizontal="left" vertical="center" wrapText="1"/>
    </xf>
    <xf numFmtId="0" fontId="66" fillId="0" borderId="10" xfId="0" applyFont="1" applyFill="1" applyBorder="1" applyAlignment="1">
      <alignment horizontal="left" vertical="center"/>
    </xf>
    <xf numFmtId="0" fontId="21" fillId="0" borderId="10" xfId="0" applyFont="1" applyFill="1" applyBorder="1" applyAlignment="1">
      <alignment horizontal="left" vertical="center"/>
    </xf>
    <xf numFmtId="0" fontId="20" fillId="0" borderId="0" xfId="0" applyFont="1" applyFill="1" applyBorder="1" applyAlignment="1">
      <alignment horizontal="center" vertical="center"/>
    </xf>
    <xf numFmtId="0" fontId="20" fillId="0" borderId="0" xfId="0" applyFont="1" applyFill="1" applyBorder="1" applyAlignment="1">
      <alignment vertical="center"/>
    </xf>
    <xf numFmtId="0" fontId="21" fillId="0" borderId="0" xfId="0" applyFont="1" applyFill="1" applyBorder="1" applyAlignment="1">
      <alignment horizontal="center" vertical="center"/>
    </xf>
    <xf numFmtId="0" fontId="20" fillId="0" borderId="0" xfId="0" applyFont="1" applyBorder="1"/>
    <xf numFmtId="0" fontId="21" fillId="0" borderId="0" xfId="0" applyFont="1" applyBorder="1" applyAlignment="1"/>
    <xf numFmtId="0" fontId="21" fillId="0" borderId="0" xfId="0" applyFont="1" applyBorder="1" applyAlignment="1">
      <alignment horizontal="center" vertical="center"/>
    </xf>
    <xf numFmtId="0" fontId="20" fillId="0" borderId="0" xfId="0" applyFont="1" applyFill="1"/>
    <xf numFmtId="0" fontId="20" fillId="0" borderId="42" xfId="0" applyFont="1" applyFill="1" applyBorder="1" applyAlignment="1">
      <alignment horizontal="center" vertical="center" wrapText="1"/>
    </xf>
    <xf numFmtId="0" fontId="20" fillId="0" borderId="42" xfId="0" applyFont="1" applyFill="1" applyBorder="1" applyAlignment="1">
      <alignment horizontal="center" vertical="center"/>
    </xf>
    <xf numFmtId="0" fontId="64" fillId="0" borderId="42" xfId="0" applyFont="1" applyFill="1" applyBorder="1" applyAlignment="1">
      <alignment horizontal="center" vertical="center"/>
    </xf>
    <xf numFmtId="0" fontId="66" fillId="0" borderId="42" xfId="0" applyFont="1" applyFill="1" applyBorder="1" applyAlignment="1">
      <alignment horizontal="center" vertical="center"/>
    </xf>
    <xf numFmtId="0" fontId="21" fillId="0" borderId="42" xfId="0" applyFont="1" applyFill="1" applyBorder="1" applyAlignment="1">
      <alignment horizontal="center" vertical="center"/>
    </xf>
    <xf numFmtId="0" fontId="66" fillId="0" borderId="42" xfId="0" applyFont="1" applyFill="1" applyBorder="1" applyAlignment="1">
      <alignment horizontal="center" vertical="center" wrapText="1"/>
    </xf>
    <xf numFmtId="0" fontId="65" fillId="0" borderId="42" xfId="0" applyFont="1" applyFill="1" applyBorder="1" applyAlignment="1">
      <alignment horizontal="left" vertical="center"/>
    </xf>
    <xf numFmtId="0" fontId="20" fillId="0" borderId="42" xfId="0" applyFont="1" applyFill="1" applyBorder="1" applyAlignment="1">
      <alignment horizontal="left" vertical="center" wrapText="1"/>
    </xf>
    <xf numFmtId="0" fontId="20" fillId="0" borderId="42" xfId="0" applyFont="1" applyFill="1" applyBorder="1" applyAlignment="1">
      <alignment horizontal="left" vertical="center"/>
    </xf>
    <xf numFmtId="0" fontId="65" fillId="0" borderId="42" xfId="0" applyFont="1" applyFill="1" applyBorder="1" applyAlignment="1">
      <alignment horizontal="left" vertical="center" wrapText="1"/>
    </xf>
    <xf numFmtId="0" fontId="64" fillId="0" borderId="42" xfId="0" applyFont="1" applyFill="1" applyBorder="1" applyAlignment="1">
      <alignment horizontal="left" vertical="center" wrapText="1"/>
    </xf>
    <xf numFmtId="0" fontId="66" fillId="0" borderId="42" xfId="0" applyFont="1" applyFill="1" applyBorder="1" applyAlignment="1">
      <alignment horizontal="left" vertical="center"/>
    </xf>
    <xf numFmtId="0" fontId="21" fillId="0" borderId="42" xfId="0" applyFont="1" applyFill="1" applyBorder="1" applyAlignment="1">
      <alignment horizontal="left" vertical="center"/>
    </xf>
    <xf numFmtId="0" fontId="0" fillId="0" borderId="0" xfId="0" applyAlignment="1">
      <alignment horizontal="center" vertical="center"/>
    </xf>
    <xf numFmtId="0" fontId="21" fillId="0" borderId="42" xfId="0" applyFont="1" applyBorder="1" applyAlignment="1">
      <alignment horizontal="center" vertical="center" wrapText="1"/>
    </xf>
    <xf numFmtId="0" fontId="21" fillId="0" borderId="42" xfId="0" applyFont="1" applyFill="1" applyBorder="1" applyAlignment="1">
      <alignment horizontal="center" vertical="center" wrapText="1"/>
    </xf>
    <xf numFmtId="0" fontId="67" fillId="0" borderId="0" xfId="0" applyFont="1"/>
    <xf numFmtId="0" fontId="21" fillId="0" borderId="0" xfId="0" applyFont="1" applyAlignment="1">
      <alignment horizontal="center"/>
    </xf>
    <xf numFmtId="0" fontId="45" fillId="0" borderId="12" xfId="37" applyFont="1" applyFill="1" applyBorder="1" applyAlignment="1">
      <alignment horizontal="center" vertical="center"/>
    </xf>
    <xf numFmtId="0" fontId="45" fillId="0" borderId="12" xfId="37" applyFont="1" applyFill="1" applyBorder="1" applyAlignment="1">
      <alignment horizontal="center" vertical="center" wrapText="1"/>
    </xf>
    <xf numFmtId="0" fontId="23" fillId="0" borderId="10" xfId="0" applyFont="1" applyBorder="1" applyAlignment="1">
      <alignment horizontal="center" vertical="center"/>
    </xf>
    <xf numFmtId="0" fontId="20" fillId="0" borderId="42" xfId="0" applyFont="1" applyBorder="1" applyAlignment="1">
      <alignment horizontal="left" vertical="center"/>
    </xf>
    <xf numFmtId="0" fontId="0" fillId="0" borderId="0" xfId="0" applyAlignment="1">
      <alignment horizontal="left" vertical="center"/>
    </xf>
    <xf numFmtId="0" fontId="45" fillId="0" borderId="24" xfId="37" applyFont="1" applyFill="1" applyBorder="1" applyAlignment="1">
      <alignment horizontal="center" vertical="center"/>
    </xf>
    <xf numFmtId="0" fontId="59" fillId="0" borderId="12" xfId="37" applyFont="1" applyBorder="1" applyAlignment="1">
      <alignment horizontal="center" vertical="center" wrapText="1"/>
    </xf>
    <xf numFmtId="0" fontId="45" fillId="0" borderId="51" xfId="37" applyFont="1" applyFill="1" applyBorder="1" applyAlignment="1">
      <alignment horizontal="center" vertical="center" wrapText="1"/>
    </xf>
    <xf numFmtId="0" fontId="59" fillId="0" borderId="51" xfId="37" applyFont="1" applyBorder="1" applyAlignment="1">
      <alignment horizontal="center" vertical="center" wrapText="1"/>
    </xf>
    <xf numFmtId="0" fontId="45" fillId="0" borderId="51" xfId="37" applyFont="1" applyFill="1" applyBorder="1" applyAlignment="1">
      <alignment horizontal="center" vertical="center"/>
    </xf>
    <xf numFmtId="0" fontId="23" fillId="0" borderId="52" xfId="0" quotePrefix="1" applyFont="1" applyBorder="1" applyAlignment="1">
      <alignment horizontal="center" vertical="center" wrapText="1"/>
    </xf>
    <xf numFmtId="0" fontId="23" fillId="0" borderId="53" xfId="0" quotePrefix="1" applyFont="1" applyBorder="1" applyAlignment="1">
      <alignment horizontal="center" vertical="center" wrapText="1"/>
    </xf>
    <xf numFmtId="165" fontId="20" fillId="0" borderId="42" xfId="0" applyNumberFormat="1" applyFont="1" applyFill="1" applyBorder="1" applyAlignment="1">
      <alignment horizontal="center" vertical="center"/>
    </xf>
    <xf numFmtId="165" fontId="66" fillId="0" borderId="42" xfId="0" applyNumberFormat="1" applyFont="1" applyFill="1" applyBorder="1" applyAlignment="1">
      <alignment horizontal="center" vertical="center"/>
    </xf>
    <xf numFmtId="165" fontId="20" fillId="0" borderId="42" xfId="0" applyNumberFormat="1" applyFont="1" applyFill="1" applyBorder="1" applyAlignment="1">
      <alignment horizontal="center" vertical="center" wrapText="1"/>
    </xf>
    <xf numFmtId="165" fontId="66" fillId="0" borderId="42" xfId="0" applyNumberFormat="1" applyFont="1" applyFill="1" applyBorder="1" applyAlignment="1">
      <alignment horizontal="center" vertical="center" wrapText="1"/>
    </xf>
    <xf numFmtId="0" fontId="24" fillId="0" borderId="0" xfId="0" applyFont="1" applyBorder="1" applyAlignment="1">
      <alignment horizontal="center" vertical="center" wrapText="1"/>
    </xf>
    <xf numFmtId="0" fontId="23" fillId="0" borderId="54" xfId="0" quotePrefix="1" applyFont="1" applyBorder="1" applyAlignment="1">
      <alignment horizontal="center" vertical="center" wrapText="1"/>
    </xf>
    <xf numFmtId="0" fontId="23" fillId="0" borderId="54" xfId="0" quotePrefix="1" applyFont="1" applyBorder="1" applyAlignment="1">
      <alignment horizontal="center" vertical="center"/>
    </xf>
    <xf numFmtId="0" fontId="23" fillId="0" borderId="54" xfId="0" applyFont="1" applyBorder="1" applyAlignment="1">
      <alignment horizontal="center" vertical="center"/>
    </xf>
    <xf numFmtId="0" fontId="23" fillId="0" borderId="54" xfId="0" applyFont="1" applyBorder="1" applyAlignment="1">
      <alignment horizontal="center" vertical="center" wrapText="1"/>
    </xf>
    <xf numFmtId="0" fontId="23" fillId="0" borderId="55" xfId="0" quotePrefix="1" applyFont="1" applyBorder="1" applyAlignment="1">
      <alignment horizontal="center" vertical="center" wrapText="1"/>
    </xf>
    <xf numFmtId="0" fontId="23" fillId="0" borderId="55" xfId="0" quotePrefix="1" applyFont="1" applyBorder="1" applyAlignment="1">
      <alignment horizontal="center" vertical="center"/>
    </xf>
    <xf numFmtId="0" fontId="23" fillId="0" borderId="55" xfId="0" applyFont="1" applyBorder="1" applyAlignment="1">
      <alignment horizontal="center" vertical="center"/>
    </xf>
    <xf numFmtId="0" fontId="23" fillId="0" borderId="55" xfId="0" applyFont="1" applyBorder="1" applyAlignment="1">
      <alignment horizontal="center" vertical="center" wrapText="1"/>
    </xf>
    <xf numFmtId="0" fontId="24" fillId="0" borderId="56" xfId="0" quotePrefix="1" applyFont="1" applyBorder="1" applyAlignment="1">
      <alignment horizontal="center" vertical="center" wrapText="1"/>
    </xf>
    <xf numFmtId="0" fontId="24" fillId="0" borderId="56" xfId="0" quotePrefix="1" applyFont="1" applyBorder="1" applyAlignment="1">
      <alignment horizontal="center" vertical="center"/>
    </xf>
    <xf numFmtId="0" fontId="21" fillId="0" borderId="0" xfId="0" applyFont="1" applyAlignment="1">
      <alignment horizontal="center"/>
    </xf>
    <xf numFmtId="0" fontId="20" fillId="0" borderId="0" xfId="0" applyFont="1" applyAlignment="1">
      <alignment horizontal="center" vertical="center"/>
    </xf>
    <xf numFmtId="0" fontId="21" fillId="0" borderId="0" xfId="0" applyFont="1" applyAlignment="1">
      <alignment horizontal="center" vertical="center"/>
    </xf>
    <xf numFmtId="0" fontId="29" fillId="0" borderId="0" xfId="0" applyFont="1" applyAlignment="1">
      <alignment horizontal="center"/>
    </xf>
    <xf numFmtId="0" fontId="20" fillId="0" borderId="21" xfId="0" applyFont="1" applyBorder="1" applyAlignment="1">
      <alignment horizontal="left" vertical="center"/>
    </xf>
    <xf numFmtId="0" fontId="20" fillId="0" borderId="15" xfId="0" applyFont="1" applyBorder="1" applyAlignment="1">
      <alignment horizontal="left" vertical="center"/>
    </xf>
    <xf numFmtId="165" fontId="20" fillId="0" borderId="21" xfId="0" applyNumberFormat="1" applyFont="1" applyFill="1" applyBorder="1" applyAlignment="1">
      <alignment horizontal="center" vertical="center"/>
    </xf>
    <xf numFmtId="165" fontId="20" fillId="0" borderId="15" xfId="0" applyNumberFormat="1" applyFont="1" applyFill="1" applyBorder="1" applyAlignment="1">
      <alignment horizontal="center" vertical="center"/>
    </xf>
    <xf numFmtId="0" fontId="20" fillId="0" borderId="21" xfId="0" applyFont="1" applyFill="1" applyBorder="1" applyAlignment="1">
      <alignment horizontal="center" vertical="center"/>
    </xf>
    <xf numFmtId="0" fontId="20" fillId="0" borderId="15" xfId="0" applyFont="1" applyFill="1" applyBorder="1" applyAlignment="1">
      <alignment horizontal="center" vertical="center"/>
    </xf>
    <xf numFmtId="0" fontId="65" fillId="0" borderId="21" xfId="0" applyFont="1" applyFill="1" applyBorder="1" applyAlignment="1">
      <alignment horizontal="left" vertical="center"/>
    </xf>
    <xf numFmtId="0" fontId="65" fillId="0" borderId="15" xfId="0" applyFont="1" applyFill="1" applyBorder="1" applyAlignment="1">
      <alignment horizontal="left" vertical="center"/>
    </xf>
    <xf numFmtId="0" fontId="20" fillId="0" borderId="21" xfId="0" applyFont="1" applyFill="1" applyBorder="1" applyAlignment="1">
      <alignment horizontal="center" vertical="center" wrapText="1"/>
    </xf>
    <xf numFmtId="0" fontId="20" fillId="0" borderId="15" xfId="0" applyFont="1" applyFill="1" applyBorder="1" applyAlignment="1">
      <alignment horizontal="center" vertical="center" wrapText="1"/>
    </xf>
    <xf numFmtId="0" fontId="65" fillId="0" borderId="21" xfId="0" applyFont="1" applyFill="1" applyBorder="1" applyAlignment="1">
      <alignment horizontal="left" vertical="center" wrapText="1"/>
    </xf>
    <xf numFmtId="0" fontId="65" fillId="0" borderId="15" xfId="0" applyFont="1" applyFill="1" applyBorder="1" applyAlignment="1">
      <alignment horizontal="left" vertical="center" wrapText="1"/>
    </xf>
    <xf numFmtId="0" fontId="21" fillId="0" borderId="27" xfId="0" applyFont="1" applyBorder="1" applyAlignment="1">
      <alignment horizontal="center" vertical="center" wrapText="1"/>
    </xf>
    <xf numFmtId="0" fontId="21" fillId="0" borderId="23" xfId="0" applyFont="1" applyBorder="1" applyAlignment="1">
      <alignment horizontal="center" vertical="center" wrapText="1"/>
    </xf>
    <xf numFmtId="0" fontId="20" fillId="0" borderId="21" xfId="0" applyFont="1" applyFill="1" applyBorder="1" applyAlignment="1">
      <alignment horizontal="left" vertical="center"/>
    </xf>
    <xf numFmtId="0" fontId="20" fillId="0" borderId="15" xfId="0" applyFont="1" applyFill="1" applyBorder="1" applyAlignment="1">
      <alignment horizontal="left" vertical="center"/>
    </xf>
    <xf numFmtId="165" fontId="64" fillId="0" borderId="21" xfId="0" applyNumberFormat="1" applyFont="1" applyFill="1" applyBorder="1" applyAlignment="1">
      <alignment horizontal="center" vertical="center"/>
    </xf>
    <xf numFmtId="165" fontId="64" fillId="0" borderId="15" xfId="0" applyNumberFormat="1" applyFont="1" applyFill="1" applyBorder="1" applyAlignment="1">
      <alignment horizontal="center" vertical="center"/>
    </xf>
    <xf numFmtId="165" fontId="20" fillId="0" borderId="16" xfId="0" applyNumberFormat="1" applyFont="1" applyFill="1" applyBorder="1" applyAlignment="1">
      <alignment horizontal="center" vertical="center"/>
    </xf>
    <xf numFmtId="0" fontId="20" fillId="0" borderId="16" xfId="0" applyFont="1" applyBorder="1" applyAlignment="1">
      <alignment horizontal="left" vertical="center"/>
    </xf>
    <xf numFmtId="0" fontId="20" fillId="0" borderId="16" xfId="0" applyFont="1" applyFill="1" applyBorder="1" applyAlignment="1">
      <alignment horizontal="center" vertical="center"/>
    </xf>
    <xf numFmtId="0" fontId="65" fillId="0" borderId="16" xfId="0" applyFont="1" applyFill="1" applyBorder="1" applyAlignment="1">
      <alignment horizontal="left" vertical="center"/>
    </xf>
    <xf numFmtId="0" fontId="20" fillId="0" borderId="16" xfId="0" applyFont="1" applyFill="1" applyBorder="1" applyAlignment="1">
      <alignment horizontal="center" vertical="center" wrapText="1"/>
    </xf>
    <xf numFmtId="165" fontId="21" fillId="0" borderId="21" xfId="0" applyNumberFormat="1" applyFont="1" applyFill="1" applyBorder="1" applyAlignment="1">
      <alignment horizontal="center" vertical="center"/>
    </xf>
    <xf numFmtId="165" fontId="21" fillId="0" borderId="16" xfId="0" applyNumberFormat="1" applyFont="1" applyFill="1" applyBorder="1" applyAlignment="1">
      <alignment horizontal="center" vertical="center"/>
    </xf>
    <xf numFmtId="165" fontId="21" fillId="0" borderId="15" xfId="0" applyNumberFormat="1" applyFont="1" applyFill="1" applyBorder="1" applyAlignment="1">
      <alignment horizontal="center" vertical="center"/>
    </xf>
    <xf numFmtId="0" fontId="45" fillId="26" borderId="21" xfId="37" applyFont="1" applyFill="1" applyBorder="1" applyAlignment="1">
      <alignment horizontal="center" vertical="center" wrapText="1"/>
    </xf>
    <xf numFmtId="0" fontId="45" fillId="26" borderId="15" xfId="37" applyFont="1" applyFill="1" applyBorder="1" applyAlignment="1">
      <alignment horizontal="center" vertical="center" wrapText="1"/>
    </xf>
    <xf numFmtId="0" fontId="45" fillId="0" borderId="21" xfId="37" applyFont="1" applyBorder="1" applyAlignment="1">
      <alignment horizontal="center" vertical="center" wrapText="1"/>
    </xf>
    <xf numFmtId="0" fontId="45" fillId="0" borderId="15" xfId="37" applyFont="1" applyBorder="1" applyAlignment="1">
      <alignment horizontal="center" vertical="center" wrapText="1"/>
    </xf>
    <xf numFmtId="0" fontId="59" fillId="0" borderId="21" xfId="37" applyFont="1" applyBorder="1" applyAlignment="1">
      <alignment horizontal="center" vertical="center" wrapText="1"/>
    </xf>
    <xf numFmtId="0" fontId="59" fillId="0" borderId="15" xfId="37" applyFont="1" applyBorder="1" applyAlignment="1">
      <alignment horizontal="center" vertical="center" wrapText="1"/>
    </xf>
    <xf numFmtId="0" fontId="45" fillId="26" borderId="12" xfId="37" applyFont="1" applyFill="1" applyBorder="1" applyAlignment="1">
      <alignment horizontal="center" vertical="center" wrapText="1"/>
    </xf>
    <xf numFmtId="0" fontId="45" fillId="0" borderId="12" xfId="37" applyFont="1" applyBorder="1" applyAlignment="1">
      <alignment horizontal="center" vertical="center" wrapText="1"/>
    </xf>
    <xf numFmtId="0" fontId="45" fillId="0" borderId="21" xfId="37" applyFont="1" applyBorder="1" applyAlignment="1">
      <alignment horizontal="center" vertical="center"/>
    </xf>
    <xf numFmtId="0" fontId="45" fillId="0" borderId="12" xfId="37" applyFont="1" applyBorder="1" applyAlignment="1">
      <alignment horizontal="center" vertical="center"/>
    </xf>
    <xf numFmtId="0" fontId="45" fillId="0" borderId="15" xfId="37" applyFont="1" applyBorder="1" applyAlignment="1">
      <alignment horizontal="center" vertical="center"/>
    </xf>
    <xf numFmtId="0" fontId="45" fillId="25" borderId="21" xfId="37" applyFont="1" applyFill="1" applyBorder="1" applyAlignment="1">
      <alignment horizontal="left" vertical="center"/>
    </xf>
    <xf numFmtId="0" fontId="45" fillId="25" borderId="15" xfId="37" applyFont="1" applyFill="1" applyBorder="1" applyAlignment="1">
      <alignment horizontal="left" vertical="center"/>
    </xf>
    <xf numFmtId="0" fontId="45" fillId="0" borderId="16" xfId="37" applyFont="1" applyBorder="1" applyAlignment="1">
      <alignment horizontal="center" vertical="center" wrapText="1"/>
    </xf>
    <xf numFmtId="0" fontId="45" fillId="27" borderId="10" xfId="0" applyFont="1" applyFill="1" applyBorder="1" applyAlignment="1">
      <alignment horizontal="left" vertical="center" wrapText="1"/>
    </xf>
    <xf numFmtId="0" fontId="45" fillId="0" borderId="10" xfId="37" applyFont="1" applyBorder="1" applyAlignment="1">
      <alignment horizontal="center" vertical="center"/>
    </xf>
    <xf numFmtId="0" fontId="22" fillId="0" borderId="0" xfId="37" applyFont="1" applyAlignment="1">
      <alignment horizontal="center"/>
    </xf>
    <xf numFmtId="0" fontId="45" fillId="0" borderId="10" xfId="0" applyFont="1" applyBorder="1" applyAlignment="1">
      <alignment horizontal="center" vertical="center" wrapText="1"/>
    </xf>
    <xf numFmtId="0" fontId="45" fillId="0" borderId="21" xfId="37" applyFont="1" applyBorder="1" applyAlignment="1">
      <alignment horizontal="left" vertical="center"/>
    </xf>
    <xf numFmtId="0" fontId="45" fillId="0" borderId="12" xfId="37" applyFont="1" applyBorder="1" applyAlignment="1">
      <alignment horizontal="left" vertical="center"/>
    </xf>
    <xf numFmtId="0" fontId="33" fillId="0" borderId="0" xfId="37" applyFont="1" applyAlignment="1">
      <alignment horizontal="center"/>
    </xf>
    <xf numFmtId="0" fontId="49" fillId="0" borderId="0" xfId="37" applyFont="1" applyAlignment="1">
      <alignment horizontal="center"/>
    </xf>
    <xf numFmtId="0" fontId="35" fillId="0" borderId="0" xfId="37" applyFont="1" applyAlignment="1">
      <alignment horizontal="center"/>
    </xf>
    <xf numFmtId="0" fontId="45" fillId="0" borderId="15" xfId="37" applyFont="1" applyBorder="1" applyAlignment="1">
      <alignment horizontal="left" vertical="center"/>
    </xf>
    <xf numFmtId="0" fontId="48" fillId="0" borderId="0" xfId="37" applyFont="1"/>
    <xf numFmtId="0" fontId="44" fillId="0" borderId="21" xfId="37" applyFont="1" applyBorder="1" applyAlignment="1">
      <alignment horizontal="center" vertical="center" wrapText="1"/>
    </xf>
    <xf numFmtId="0" fontId="44" fillId="0" borderId="15" xfId="37" applyFont="1" applyBorder="1" applyAlignment="1">
      <alignment horizontal="center" vertical="center" wrapText="1"/>
    </xf>
    <xf numFmtId="0" fontId="48" fillId="0" borderId="0" xfId="37" applyFont="1" applyAlignment="1">
      <alignment horizontal="left"/>
    </xf>
    <xf numFmtId="0" fontId="44" fillId="0" borderId="21" xfId="37" applyFont="1" applyBorder="1" applyAlignment="1">
      <alignment horizontal="center" vertical="center"/>
    </xf>
    <xf numFmtId="0" fontId="44" fillId="0" borderId="15" xfId="37" applyFont="1" applyBorder="1" applyAlignment="1">
      <alignment horizontal="center" vertical="center"/>
    </xf>
    <xf numFmtId="0" fontId="44" fillId="0" borderId="22" xfId="37" applyFont="1" applyBorder="1" applyAlignment="1">
      <alignment horizontal="center" vertical="center"/>
    </xf>
    <xf numFmtId="0" fontId="44" fillId="0" borderId="25" xfId="37" applyFont="1" applyBorder="1" applyAlignment="1">
      <alignment horizontal="center" vertical="center"/>
    </xf>
    <xf numFmtId="0" fontId="44" fillId="0" borderId="18" xfId="37" applyFont="1" applyBorder="1" applyAlignment="1">
      <alignment horizontal="center" vertical="center"/>
    </xf>
    <xf numFmtId="0" fontId="45" fillId="0" borderId="16" xfId="37" applyFont="1" applyBorder="1" applyAlignment="1">
      <alignment horizontal="center" vertical="center"/>
    </xf>
    <xf numFmtId="0" fontId="45" fillId="24" borderId="21" xfId="37" applyFont="1" applyFill="1" applyBorder="1" applyAlignment="1">
      <alignment horizontal="left" vertical="center"/>
    </xf>
    <xf numFmtId="0" fontId="45" fillId="24" borderId="16" xfId="37" applyFont="1" applyFill="1" applyBorder="1" applyAlignment="1">
      <alignment horizontal="left" vertical="center"/>
    </xf>
    <xf numFmtId="0" fontId="45" fillId="0" borderId="22" xfId="37" applyFont="1" applyBorder="1" applyAlignment="1">
      <alignment horizontal="center" vertical="center"/>
    </xf>
    <xf numFmtId="0" fontId="45" fillId="0" borderId="26" xfId="37" applyFont="1" applyBorder="1" applyAlignment="1">
      <alignment horizontal="center" vertical="center"/>
    </xf>
    <xf numFmtId="0" fontId="56" fillId="0" borderId="10" xfId="0" applyFont="1" applyBorder="1" applyAlignment="1">
      <alignment horizontal="center" vertical="center" wrapText="1"/>
    </xf>
    <xf numFmtId="0" fontId="56" fillId="27" borderId="10" xfId="0" applyFont="1" applyFill="1" applyBorder="1" applyAlignment="1">
      <alignment horizontal="left" vertical="center" wrapText="1"/>
    </xf>
    <xf numFmtId="0" fontId="56" fillId="25" borderId="10" xfId="0" applyFont="1" applyFill="1" applyBorder="1" applyAlignment="1">
      <alignment horizontal="left" vertical="center" wrapText="1"/>
    </xf>
    <xf numFmtId="0" fontId="45" fillId="25" borderId="10" xfId="0" applyFont="1" applyFill="1" applyBorder="1" applyAlignment="1">
      <alignment horizontal="left" vertical="center" wrapText="1"/>
    </xf>
    <xf numFmtId="0" fontId="45" fillId="0" borderId="10" xfId="0" applyFont="1" applyBorder="1" applyAlignment="1">
      <alignment horizontal="left" vertical="center" wrapText="1"/>
    </xf>
    <xf numFmtId="0" fontId="45" fillId="0" borderId="10" xfId="37" applyFont="1" applyBorder="1" applyAlignment="1">
      <alignment horizontal="center" vertical="center" wrapText="1"/>
    </xf>
    <xf numFmtId="0" fontId="45" fillId="0" borderId="29" xfId="37" applyFont="1" applyBorder="1" applyAlignment="1">
      <alignment horizontal="center" vertical="center"/>
    </xf>
    <xf numFmtId="0" fontId="45" fillId="0" borderId="21" xfId="0" applyFont="1" applyBorder="1" applyAlignment="1">
      <alignment horizontal="center" vertical="center" wrapText="1"/>
    </xf>
    <xf numFmtId="0" fontId="45" fillId="0" borderId="21" xfId="0" applyFont="1" applyBorder="1" applyAlignment="1">
      <alignment horizontal="left" vertical="center" wrapText="1"/>
    </xf>
    <xf numFmtId="0" fontId="45" fillId="24" borderId="10" xfId="0" applyFont="1" applyFill="1" applyBorder="1" applyAlignment="1">
      <alignment horizontal="left" vertical="center" wrapText="1"/>
    </xf>
    <xf numFmtId="0" fontId="45" fillId="0" borderId="0" xfId="37" applyFont="1" applyAlignment="1">
      <alignment horizontal="left" vertical="center"/>
    </xf>
    <xf numFmtId="0" fontId="44" fillId="0" borderId="0" xfId="37" applyFont="1" applyAlignment="1">
      <alignment horizontal="left" vertical="center"/>
    </xf>
    <xf numFmtId="0" fontId="44" fillId="0" borderId="0" xfId="37" applyFont="1" applyAlignment="1">
      <alignment horizontal="center"/>
    </xf>
    <xf numFmtId="0" fontId="44" fillId="0" borderId="16" xfId="37" applyFont="1" applyBorder="1" applyAlignment="1">
      <alignment horizontal="center" vertical="center"/>
    </xf>
    <xf numFmtId="0" fontId="44" fillId="0" borderId="16" xfId="37" applyFont="1" applyBorder="1" applyAlignment="1">
      <alignment horizontal="center" vertical="center" wrapText="1"/>
    </xf>
    <xf numFmtId="0" fontId="45" fillId="0" borderId="41" xfId="37" applyFont="1" applyBorder="1" applyAlignment="1">
      <alignment horizontal="center" vertical="center"/>
    </xf>
    <xf numFmtId="0" fontId="45" fillId="0" borderId="18" xfId="37" applyFont="1" applyBorder="1" applyAlignment="1">
      <alignment horizontal="center" vertical="center" wrapText="1"/>
    </xf>
    <xf numFmtId="0" fontId="45" fillId="0" borderId="20" xfId="37" applyFont="1" applyBorder="1" applyAlignment="1">
      <alignment horizontal="center" vertical="center" wrapText="1"/>
    </xf>
    <xf numFmtId="0" fontId="56" fillId="0" borderId="10" xfId="0" applyFont="1" applyBorder="1" applyAlignment="1">
      <alignment horizontal="left" vertical="center" wrapText="1"/>
    </xf>
    <xf numFmtId="0" fontId="56" fillId="0" borderId="21" xfId="0" applyFont="1" applyBorder="1" applyAlignment="1">
      <alignment horizontal="center" vertical="center" wrapText="1"/>
    </xf>
    <xf numFmtId="0" fontId="56" fillId="0" borderId="16" xfId="0" applyFont="1" applyBorder="1" applyAlignment="1">
      <alignment horizontal="center" vertical="center" wrapText="1"/>
    </xf>
    <xf numFmtId="0" fontId="56" fillId="25" borderId="21" xfId="0" applyFont="1" applyFill="1" applyBorder="1" applyAlignment="1">
      <alignment horizontal="left" vertical="center" wrapText="1"/>
    </xf>
    <xf numFmtId="0" fontId="45" fillId="0" borderId="19" xfId="37" applyFont="1" applyBorder="1" applyAlignment="1">
      <alignment horizontal="center" vertical="center" wrapText="1"/>
    </xf>
    <xf numFmtId="0" fontId="59" fillId="0" borderId="10" xfId="0" applyFont="1" applyBorder="1" applyAlignment="1">
      <alignment horizontal="left" vertical="center" wrapText="1"/>
    </xf>
    <xf numFmtId="0" fontId="56" fillId="27" borderId="21" xfId="0" applyFont="1" applyFill="1" applyBorder="1" applyAlignment="1">
      <alignment horizontal="left" vertical="center" wrapText="1"/>
    </xf>
    <xf numFmtId="0" fontId="45" fillId="0" borderId="21" xfId="37" applyFont="1" applyFill="1" applyBorder="1" applyAlignment="1">
      <alignment horizontal="center" vertical="center"/>
    </xf>
    <xf numFmtId="0" fontId="45" fillId="0" borderId="15" xfId="37" applyFont="1" applyFill="1" applyBorder="1" applyAlignment="1">
      <alignment horizontal="center" vertical="center"/>
    </xf>
    <xf numFmtId="0" fontId="45" fillId="0" borderId="21" xfId="37" applyFont="1" applyFill="1" applyBorder="1" applyAlignment="1">
      <alignment horizontal="center" vertical="center" wrapText="1"/>
    </xf>
    <xf numFmtId="0" fontId="45" fillId="0" borderId="15" xfId="37" applyFont="1" applyFill="1" applyBorder="1" applyAlignment="1">
      <alignment horizontal="center" vertical="center" wrapText="1"/>
    </xf>
    <xf numFmtId="0" fontId="45" fillId="24" borderId="21" xfId="37" applyFont="1" applyFill="1" applyBorder="1" applyAlignment="1">
      <alignment horizontal="center" vertical="center" wrapText="1"/>
    </xf>
    <xf numFmtId="0" fontId="45" fillId="24" borderId="15" xfId="37" applyFont="1" applyFill="1" applyBorder="1" applyAlignment="1">
      <alignment horizontal="center" vertical="center" wrapText="1"/>
    </xf>
    <xf numFmtId="0" fontId="45" fillId="0" borderId="12" xfId="37" applyFont="1" applyFill="1" applyBorder="1" applyAlignment="1">
      <alignment horizontal="center" vertical="center" wrapText="1"/>
    </xf>
    <xf numFmtId="0" fontId="45" fillId="0" borderId="16" xfId="37" applyFont="1" applyFill="1" applyBorder="1" applyAlignment="1">
      <alignment horizontal="center" vertical="center" wrapText="1"/>
    </xf>
    <xf numFmtId="0" fontId="45" fillId="0" borderId="12" xfId="37" applyFont="1" applyFill="1" applyBorder="1" applyAlignment="1">
      <alignment horizontal="center" vertical="center"/>
    </xf>
    <xf numFmtId="0" fontId="45" fillId="28" borderId="21" xfId="37" applyFont="1" applyFill="1" applyBorder="1" applyAlignment="1">
      <alignment horizontal="center" vertical="center" wrapText="1"/>
    </xf>
    <xf numFmtId="0" fontId="45" fillId="28" borderId="15" xfId="37" applyFont="1" applyFill="1" applyBorder="1" applyAlignment="1">
      <alignment horizontal="center" vertical="center" wrapText="1"/>
    </xf>
    <xf numFmtId="0" fontId="45" fillId="27" borderId="21" xfId="37" applyFont="1" applyFill="1" applyBorder="1" applyAlignment="1">
      <alignment horizontal="center" vertical="center" wrapText="1"/>
    </xf>
    <xf numFmtId="0" fontId="45" fillId="27" borderId="15" xfId="37" applyFont="1" applyFill="1" applyBorder="1" applyAlignment="1">
      <alignment horizontal="center" vertical="center" wrapText="1"/>
    </xf>
    <xf numFmtId="0" fontId="45" fillId="0" borderId="16" xfId="37" applyFont="1" applyFill="1" applyBorder="1" applyAlignment="1">
      <alignment horizontal="center" vertical="center"/>
    </xf>
    <xf numFmtId="0" fontId="44" fillId="0" borderId="0" xfId="37" applyFont="1" applyBorder="1" applyAlignment="1">
      <alignment horizontal="left" vertical="center"/>
    </xf>
    <xf numFmtId="0" fontId="45" fillId="0" borderId="0" xfId="37" applyFont="1" applyBorder="1" applyAlignment="1">
      <alignment horizontal="left" vertical="center"/>
    </xf>
    <xf numFmtId="0" fontId="44" fillId="0" borderId="21" xfId="37" applyFont="1" applyFill="1" applyBorder="1" applyAlignment="1">
      <alignment horizontal="center" vertical="center" wrapText="1"/>
    </xf>
    <xf numFmtId="0" fontId="44" fillId="0" borderId="15" xfId="37" applyFont="1" applyFill="1" applyBorder="1" applyAlignment="1">
      <alignment horizontal="center" vertical="center"/>
    </xf>
    <xf numFmtId="0" fontId="35" fillId="0" borderId="0" xfId="37" applyFont="1" applyBorder="1" applyAlignment="1">
      <alignment horizontal="center"/>
    </xf>
    <xf numFmtId="0" fontId="48" fillId="0" borderId="0" xfId="37" applyFont="1" applyBorder="1" applyAlignment="1">
      <alignment horizontal="center" vertical="center"/>
    </xf>
    <xf numFmtId="0" fontId="44" fillId="0" borderId="21" xfId="37" applyFont="1" applyFill="1" applyBorder="1" applyAlignment="1">
      <alignment horizontal="center" vertical="center"/>
    </xf>
    <xf numFmtId="0" fontId="44" fillId="0" borderId="15" xfId="37" applyFont="1" applyFill="1" applyBorder="1" applyAlignment="1">
      <alignment horizontal="center" vertical="center" wrapText="1"/>
    </xf>
    <xf numFmtId="0" fontId="44" fillId="0" borderId="22" xfId="37" applyFont="1" applyFill="1" applyBorder="1" applyAlignment="1">
      <alignment horizontal="center" vertical="center"/>
    </xf>
    <xf numFmtId="0" fontId="44" fillId="0" borderId="25" xfId="37" applyFont="1" applyFill="1" applyBorder="1" applyAlignment="1">
      <alignment horizontal="center" vertical="center"/>
    </xf>
    <xf numFmtId="0" fontId="44" fillId="0" borderId="18" xfId="37" applyFont="1" applyFill="1" applyBorder="1" applyAlignment="1">
      <alignment horizontal="center" vertical="center"/>
    </xf>
    <xf numFmtId="0" fontId="45" fillId="28" borderId="16" xfId="37" applyFont="1" applyFill="1" applyBorder="1" applyAlignment="1">
      <alignment horizontal="center" vertical="center" wrapText="1"/>
    </xf>
    <xf numFmtId="0" fontId="45" fillId="27" borderId="16" xfId="37" applyFont="1" applyFill="1" applyBorder="1" applyAlignment="1">
      <alignment horizontal="center" vertical="center" wrapText="1"/>
    </xf>
    <xf numFmtId="0" fontId="45" fillId="27" borderId="12" xfId="37" applyFont="1" applyFill="1" applyBorder="1" applyAlignment="1">
      <alignment horizontal="center" vertical="center" wrapText="1"/>
    </xf>
    <xf numFmtId="0" fontId="45" fillId="28" borderId="12" xfId="37" applyFont="1" applyFill="1" applyBorder="1" applyAlignment="1">
      <alignment horizontal="center" vertical="center" wrapText="1"/>
    </xf>
    <xf numFmtId="0" fontId="45" fillId="24" borderId="16" xfId="37" applyFont="1" applyFill="1" applyBorder="1" applyAlignment="1">
      <alignment horizontal="center" vertical="center" wrapText="1"/>
    </xf>
    <xf numFmtId="0" fontId="45" fillId="24" borderId="12" xfId="37" applyFont="1" applyFill="1" applyBorder="1" applyAlignment="1">
      <alignment horizontal="center" vertical="center" wrapText="1"/>
    </xf>
    <xf numFmtId="0" fontId="44" fillId="0" borderId="0" xfId="37" applyFont="1" applyBorder="1" applyAlignment="1">
      <alignment horizontal="center"/>
    </xf>
    <xf numFmtId="0" fontId="44" fillId="0" borderId="0" xfId="37" applyFont="1" applyBorder="1" applyAlignment="1">
      <alignment horizontal="center" vertical="center"/>
    </xf>
    <xf numFmtId="0" fontId="45" fillId="0" borderId="0" xfId="37" applyFont="1" applyAlignment="1">
      <alignment horizontal="center"/>
    </xf>
    <xf numFmtId="0" fontId="53" fillId="0" borderId="0" xfId="37" applyFont="1" applyAlignment="1">
      <alignment horizontal="center"/>
    </xf>
    <xf numFmtId="0" fontId="45" fillId="24" borderId="21" xfId="37" applyFont="1" applyFill="1" applyBorder="1" applyAlignment="1">
      <alignment horizontal="center" vertical="center"/>
    </xf>
    <xf numFmtId="0" fontId="45" fillId="24" borderId="15" xfId="37" applyFont="1" applyFill="1" applyBorder="1" applyAlignment="1">
      <alignment horizontal="center" vertical="center"/>
    </xf>
    <xf numFmtId="0" fontId="34" fillId="0" borderId="0" xfId="37" applyFont="1" applyFill="1" applyAlignment="1">
      <alignment horizontal="center" vertical="center" wrapText="1"/>
    </xf>
    <xf numFmtId="0" fontId="34" fillId="0" borderId="0" xfId="37" applyFont="1" applyFill="1" applyAlignment="1">
      <alignment horizontal="center"/>
    </xf>
    <xf numFmtId="0" fontId="34" fillId="0" borderId="0" xfId="37" applyFont="1" applyFill="1" applyAlignment="1">
      <alignment horizontal="left" vertical="top" wrapText="1"/>
    </xf>
    <xf numFmtId="0" fontId="35" fillId="0" borderId="0" xfId="37" applyFont="1" applyFill="1" applyAlignment="1">
      <alignment horizontal="center"/>
    </xf>
    <xf numFmtId="0" fontId="48" fillId="0" borderId="0" xfId="37" applyFont="1" applyFill="1" applyAlignment="1">
      <alignment horizontal="center" vertical="center"/>
    </xf>
    <xf numFmtId="0" fontId="33" fillId="0" borderId="0" xfId="37" applyFont="1" applyFill="1" applyAlignment="1">
      <alignment horizontal="center"/>
    </xf>
    <xf numFmtId="0" fontId="22" fillId="0" borderId="0" xfId="37" applyFont="1" applyFill="1" applyAlignment="1">
      <alignment horizontal="center"/>
    </xf>
    <xf numFmtId="0" fontId="49" fillId="0" borderId="0" xfId="37" applyFont="1" applyFill="1" applyAlignment="1">
      <alignment horizontal="center"/>
    </xf>
    <xf numFmtId="0" fontId="45" fillId="25" borderId="21" xfId="37" applyFont="1" applyFill="1" applyBorder="1" applyAlignment="1">
      <alignment horizontal="center" vertical="center"/>
    </xf>
    <xf numFmtId="0" fontId="45" fillId="25" borderId="12" xfId="37" applyFont="1" applyFill="1" applyBorder="1" applyAlignment="1">
      <alignment horizontal="center" vertical="center"/>
    </xf>
    <xf numFmtId="0" fontId="45" fillId="25" borderId="21" xfId="37" applyFont="1" applyFill="1" applyBorder="1" applyAlignment="1">
      <alignment horizontal="center" vertical="center" wrapText="1"/>
    </xf>
    <xf numFmtId="0" fontId="45" fillId="25" borderId="12" xfId="37" applyFont="1" applyFill="1" applyBorder="1" applyAlignment="1">
      <alignment horizontal="center" vertical="center" wrapText="1"/>
    </xf>
    <xf numFmtId="0" fontId="45" fillId="25" borderId="15" xfId="37" applyFont="1" applyFill="1" applyBorder="1" applyAlignment="1">
      <alignment horizontal="center" vertical="center" wrapText="1"/>
    </xf>
    <xf numFmtId="0" fontId="45" fillId="25" borderId="15" xfId="37" applyFont="1" applyFill="1" applyBorder="1" applyAlignment="1">
      <alignment horizontal="center" vertical="center"/>
    </xf>
    <xf numFmtId="0" fontId="45" fillId="24" borderId="12" xfId="37" applyFont="1" applyFill="1" applyBorder="1" applyAlignment="1">
      <alignment horizontal="center" vertical="center"/>
    </xf>
    <xf numFmtId="0" fontId="44" fillId="0" borderId="0" xfId="37" applyFont="1" applyFill="1" applyAlignment="1">
      <alignment horizontal="left" vertical="center"/>
    </xf>
    <xf numFmtId="0" fontId="45" fillId="0" borderId="0" xfId="37" applyFont="1" applyFill="1" applyAlignment="1">
      <alignment horizontal="left" vertical="center"/>
    </xf>
    <xf numFmtId="0" fontId="44" fillId="0" borderId="0" xfId="37" applyFont="1" applyFill="1" applyAlignment="1">
      <alignment horizontal="center"/>
    </xf>
    <xf numFmtId="0" fontId="45" fillId="30" borderId="21" xfId="37" applyFont="1" applyFill="1" applyBorder="1" applyAlignment="1">
      <alignment horizontal="center" vertical="center"/>
    </xf>
    <xf numFmtId="0" fontId="45" fillId="30" borderId="15" xfId="37" applyFont="1" applyFill="1" applyBorder="1" applyAlignment="1">
      <alignment horizontal="center" vertical="center"/>
    </xf>
    <xf numFmtId="0" fontId="45" fillId="30" borderId="21" xfId="37" applyFont="1" applyFill="1" applyBorder="1" applyAlignment="1">
      <alignment horizontal="center" vertical="center" wrapText="1"/>
    </xf>
    <xf numFmtId="0" fontId="45" fillId="30" borderId="15" xfId="37" applyFont="1" applyFill="1" applyBorder="1" applyAlignment="1">
      <alignment horizontal="center" vertical="center" wrapText="1"/>
    </xf>
    <xf numFmtId="0" fontId="20" fillId="0" borderId="21" xfId="37" applyFont="1" applyFill="1" applyBorder="1" applyAlignment="1">
      <alignment horizontal="center" vertical="center"/>
    </xf>
    <xf numFmtId="0" fontId="20" fillId="0" borderId="12" xfId="37" applyFont="1" applyFill="1" applyBorder="1" applyAlignment="1">
      <alignment horizontal="center" vertical="center"/>
    </xf>
    <xf numFmtId="0" fontId="23" fillId="0" borderId="54" xfId="0" quotePrefix="1" applyFont="1" applyBorder="1" applyAlignment="1">
      <alignment horizontal="center" vertical="center" wrapText="1"/>
    </xf>
    <xf numFmtId="0" fontId="23" fillId="0" borderId="55" xfId="0" quotePrefix="1" applyFont="1" applyBorder="1" applyAlignment="1">
      <alignment horizontal="center" vertical="center" wrapText="1"/>
    </xf>
    <xf numFmtId="0" fontId="23" fillId="0" borderId="56" xfId="0" quotePrefix="1" applyFont="1" applyBorder="1" applyAlignment="1">
      <alignment horizontal="center" vertical="center" wrapText="1"/>
    </xf>
    <xf numFmtId="0" fontId="23" fillId="0" borderId="54" xfId="0" quotePrefix="1" applyFont="1" applyBorder="1" applyAlignment="1">
      <alignment horizontal="left" vertical="center" wrapText="1"/>
    </xf>
    <xf numFmtId="0" fontId="23" fillId="0" borderId="55" xfId="0" quotePrefix="1" applyFont="1" applyBorder="1" applyAlignment="1">
      <alignment horizontal="left" vertical="center" wrapText="1"/>
    </xf>
    <xf numFmtId="0" fontId="23" fillId="0" borderId="56" xfId="0" quotePrefix="1" applyFont="1" applyBorder="1" applyAlignment="1">
      <alignment horizontal="left" vertical="center" wrapText="1"/>
    </xf>
    <xf numFmtId="0" fontId="24" fillId="0" borderId="54" xfId="0" quotePrefix="1" applyFont="1" applyBorder="1" applyAlignment="1">
      <alignment horizontal="center" vertical="center" wrapText="1"/>
    </xf>
    <xf numFmtId="0" fontId="24" fillId="0" borderId="55" xfId="0" quotePrefix="1" applyFont="1" applyBorder="1" applyAlignment="1">
      <alignment horizontal="center" vertical="center" wrapText="1"/>
    </xf>
    <xf numFmtId="0" fontId="24" fillId="0" borderId="56" xfId="0" quotePrefix="1" applyFont="1" applyBorder="1" applyAlignment="1">
      <alignment horizontal="center" vertical="center" wrapText="1"/>
    </xf>
    <xf numFmtId="0" fontId="24" fillId="0" borderId="57" xfId="0" quotePrefix="1" applyFont="1" applyBorder="1" applyAlignment="1">
      <alignment horizontal="center" vertical="center" wrapText="1"/>
    </xf>
    <xf numFmtId="0" fontId="24" fillId="0" borderId="58" xfId="0" quotePrefix="1" applyFont="1" applyBorder="1" applyAlignment="1">
      <alignment horizontal="center" vertical="center" wrapText="1"/>
    </xf>
    <xf numFmtId="0" fontId="24" fillId="0" borderId="59" xfId="0" quotePrefix="1" applyFont="1" applyBorder="1" applyAlignment="1">
      <alignment horizontal="center" vertical="center" wrapText="1"/>
    </xf>
    <xf numFmtId="0" fontId="23" fillId="27" borderId="38" xfId="0" applyFont="1" applyFill="1" applyBorder="1" applyAlignment="1">
      <alignment horizontal="left" vertical="center"/>
    </xf>
    <xf numFmtId="0" fontId="23" fillId="27" borderId="39" xfId="0" applyFont="1" applyFill="1" applyBorder="1" applyAlignment="1">
      <alignment horizontal="left" vertical="center"/>
    </xf>
    <xf numFmtId="0" fontId="23" fillId="27" borderId="40" xfId="0" applyFont="1" applyFill="1" applyBorder="1" applyAlignment="1">
      <alignment horizontal="left" vertical="center"/>
    </xf>
    <xf numFmtId="0" fontId="24" fillId="27" borderId="21" xfId="0" applyFont="1" applyFill="1" applyBorder="1" applyAlignment="1">
      <alignment horizontal="center" vertical="center"/>
    </xf>
    <xf numFmtId="0" fontId="24" fillId="27" borderId="15" xfId="0" applyFont="1" applyFill="1" applyBorder="1" applyAlignment="1">
      <alignment horizontal="center" vertical="center"/>
    </xf>
    <xf numFmtId="0" fontId="24" fillId="27" borderId="36" xfId="0" applyFont="1" applyFill="1" applyBorder="1" applyAlignment="1">
      <alignment horizontal="center"/>
    </xf>
    <xf numFmtId="0" fontId="24" fillId="27" borderId="31" xfId="0" applyFont="1" applyFill="1" applyBorder="1" applyAlignment="1">
      <alignment horizontal="center"/>
    </xf>
    <xf numFmtId="0" fontId="24" fillId="27" borderId="37" xfId="0" applyFont="1" applyFill="1" applyBorder="1" applyAlignment="1">
      <alignment horizontal="center"/>
    </xf>
    <xf numFmtId="0" fontId="23" fillId="27" borderId="21" xfId="0" applyFont="1" applyFill="1" applyBorder="1" applyAlignment="1">
      <alignment horizontal="center" vertical="center"/>
    </xf>
    <xf numFmtId="0" fontId="23" fillId="27" borderId="15" xfId="0" applyFont="1" applyFill="1" applyBorder="1" applyAlignment="1">
      <alignment horizontal="center" vertical="center"/>
    </xf>
    <xf numFmtId="0" fontId="23" fillId="27" borderId="21" xfId="0" applyFont="1" applyFill="1" applyBorder="1" applyAlignment="1">
      <alignment horizontal="left" vertical="center"/>
    </xf>
    <xf numFmtId="0" fontId="23" fillId="27" borderId="15" xfId="0" applyFont="1" applyFill="1" applyBorder="1" applyAlignment="1">
      <alignment horizontal="left" vertical="center"/>
    </xf>
    <xf numFmtId="0" fontId="23" fillId="27" borderId="21" xfId="0" applyFont="1" applyFill="1" applyBorder="1" applyAlignment="1">
      <alignment horizontal="center" vertical="center" wrapText="1"/>
    </xf>
    <xf numFmtId="0" fontId="23" fillId="27" borderId="15" xfId="0" applyFont="1" applyFill="1" applyBorder="1" applyAlignment="1">
      <alignment horizontal="center" vertical="center" wrapText="1"/>
    </xf>
    <xf numFmtId="0" fontId="24" fillId="0" borderId="0" xfId="0" applyFont="1" applyBorder="1" applyAlignment="1">
      <alignment horizontal="center" vertical="center" wrapText="1"/>
    </xf>
    <xf numFmtId="0" fontId="27" fillId="0" borderId="21" xfId="0" applyFont="1" applyBorder="1" applyAlignment="1">
      <alignment horizontal="center" vertical="center" wrapText="1"/>
    </xf>
    <xf numFmtId="0" fontId="27" fillId="0" borderId="16" xfId="0" applyFont="1" applyBorder="1" applyAlignment="1">
      <alignment horizontal="center" vertical="center" wrapText="1"/>
    </xf>
    <xf numFmtId="0" fontId="27" fillId="0" borderId="15" xfId="0" applyFont="1" applyBorder="1" applyAlignment="1">
      <alignment horizontal="center" vertical="center" wrapText="1"/>
    </xf>
    <xf numFmtId="0" fontId="23" fillId="0" borderId="10" xfId="0" applyFont="1" applyBorder="1" applyAlignment="1">
      <alignment horizontal="center" vertical="center" wrapText="1"/>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23" fillId="0" borderId="23" xfId="0" applyFont="1" applyBorder="1" applyAlignment="1">
      <alignment horizontal="center" vertical="center"/>
    </xf>
    <xf numFmtId="0" fontId="23" fillId="0" borderId="22" xfId="0" applyFont="1" applyBorder="1" applyAlignment="1">
      <alignment horizontal="center" vertical="center" wrapText="1"/>
    </xf>
    <xf numFmtId="0" fontId="23" fillId="0" borderId="18" xfId="0" applyFont="1" applyBorder="1" applyAlignment="1">
      <alignment horizontal="center" vertical="center" wrapText="1"/>
    </xf>
    <xf numFmtId="0" fontId="23" fillId="0" borderId="29" xfId="0" applyFont="1" applyBorder="1" applyAlignment="1">
      <alignment horizontal="center" vertical="center" wrapText="1"/>
    </xf>
    <xf numFmtId="0" fontId="23" fillId="0" borderId="19" xfId="0" applyFont="1" applyBorder="1" applyAlignment="1">
      <alignment horizontal="center" vertical="center" wrapText="1"/>
    </xf>
    <xf numFmtId="0" fontId="23" fillId="0" borderId="25"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26"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20" xfId="0" applyFont="1" applyBorder="1" applyAlignment="1">
      <alignment horizontal="center" vertical="center" wrapText="1"/>
    </xf>
    <xf numFmtId="0" fontId="24" fillId="0" borderId="0" xfId="0" applyFont="1" applyAlignment="1">
      <alignment horizontal="center"/>
    </xf>
    <xf numFmtId="0" fontId="23" fillId="0" borderId="0" xfId="0" applyFont="1" applyAlignment="1">
      <alignment horizontal="center"/>
    </xf>
    <xf numFmtId="0" fontId="23" fillId="0" borderId="27" xfId="0" quotePrefix="1" applyFont="1" applyBorder="1" applyAlignment="1">
      <alignment horizontal="center" vertical="center"/>
    </xf>
    <xf numFmtId="0" fontId="23" fillId="0" borderId="27" xfId="0" quotePrefix="1" applyFont="1" applyBorder="1" applyAlignment="1">
      <alignment horizontal="center" vertical="center" wrapText="1"/>
    </xf>
    <xf numFmtId="0" fontId="23" fillId="0" borderId="28" xfId="0" applyFont="1" applyBorder="1" applyAlignment="1">
      <alignment horizontal="center" vertical="center" wrapText="1"/>
    </xf>
    <xf numFmtId="0" fontId="23" fillId="0" borderId="0" xfId="0" applyFont="1" applyBorder="1" applyAlignment="1">
      <alignment horizontal="center"/>
    </xf>
    <xf numFmtId="0" fontId="23" fillId="0" borderId="0" xfId="0" applyFont="1" applyBorder="1" applyAlignment="1">
      <alignment horizontal="left" vertical="center" wrapText="1"/>
    </xf>
    <xf numFmtId="0" fontId="20" fillId="0" borderId="0" xfId="0" applyFont="1" applyAlignment="1">
      <alignment horizontal="center"/>
    </xf>
    <xf numFmtId="0" fontId="28" fillId="0" borderId="0" xfId="0" applyFont="1" applyAlignment="1">
      <alignment horizontal="center"/>
    </xf>
    <xf numFmtId="0" fontId="23" fillId="0" borderId="21" xfId="0" applyFont="1" applyBorder="1" applyAlignment="1">
      <alignment horizontal="center" vertical="center" wrapText="1"/>
    </xf>
    <xf numFmtId="0" fontId="23" fillId="0" borderId="16" xfId="0" applyFont="1" applyBorder="1" applyAlignment="1">
      <alignment horizontal="center" vertical="center" wrapText="1"/>
    </xf>
    <xf numFmtId="0" fontId="23" fillId="0" borderId="15" xfId="0" applyFont="1" applyBorder="1" applyAlignment="1">
      <alignment horizontal="center" vertical="center" wrapText="1"/>
    </xf>
    <xf numFmtId="0" fontId="23" fillId="0" borderId="27" xfId="0" applyFont="1" applyBorder="1" applyAlignment="1">
      <alignment horizontal="center" vertical="center" wrapText="1"/>
    </xf>
    <xf numFmtId="0" fontId="23" fillId="0" borderId="23" xfId="0" applyFont="1" applyBorder="1" applyAlignment="1">
      <alignment horizontal="center" vertical="center" wrapText="1"/>
    </xf>
    <xf numFmtId="0" fontId="21" fillId="0" borderId="0" xfId="0" applyFont="1" applyAlignment="1">
      <alignment horizontal="left"/>
    </xf>
    <xf numFmtId="0" fontId="0" fillId="0" borderId="21" xfId="0" applyBorder="1" applyAlignment="1">
      <alignment horizontal="center" vertical="center"/>
    </xf>
    <xf numFmtId="0" fontId="0" fillId="0" borderId="15" xfId="0" applyBorder="1" applyAlignment="1">
      <alignment horizontal="center" vertical="center"/>
    </xf>
    <xf numFmtId="0" fontId="23" fillId="0" borderId="21" xfId="0" applyFont="1" applyBorder="1" applyAlignment="1">
      <alignment horizontal="left" vertical="center"/>
    </xf>
    <xf numFmtId="0" fontId="23" fillId="0" borderId="15" xfId="0" applyFont="1" applyBorder="1" applyAlignment="1">
      <alignment horizontal="left" vertical="center"/>
    </xf>
    <xf numFmtId="0" fontId="22" fillId="0" borderId="0" xfId="0" applyFont="1" applyAlignment="1">
      <alignment horizontal="center"/>
    </xf>
    <xf numFmtId="0" fontId="47" fillId="0" borderId="0" xfId="0" applyFont="1" applyAlignment="1">
      <alignment horizontal="center"/>
    </xf>
    <xf numFmtId="0" fontId="23" fillId="0" borderId="10" xfId="0" applyFont="1" applyBorder="1" applyAlignment="1">
      <alignment horizontal="center" vertical="center"/>
    </xf>
    <xf numFmtId="0" fontId="1" fillId="0" borderId="10" xfId="0" applyFont="1" applyBorder="1" applyAlignment="1">
      <alignment horizontal="center" vertical="center" wrapText="1"/>
    </xf>
    <xf numFmtId="0" fontId="49" fillId="0" borderId="0" xfId="0" applyFont="1" applyAlignment="1">
      <alignment horizontal="center"/>
    </xf>
    <xf numFmtId="0" fontId="33" fillId="0" borderId="0" xfId="0" applyFont="1" applyAlignment="1">
      <alignment horizontal="center" vertical="center" wrapText="1"/>
    </xf>
    <xf numFmtId="0" fontId="22" fillId="0" borderId="0" xfId="0" applyFont="1" applyAlignment="1">
      <alignment horizontal="center" vertical="center" wrapText="1"/>
    </xf>
    <xf numFmtId="0" fontId="49" fillId="0" borderId="0" xfId="0" applyFont="1" applyAlignment="1">
      <alignment horizontal="center" vertical="center"/>
    </xf>
    <xf numFmtId="0" fontId="22" fillId="0" borderId="0" xfId="0" applyFont="1" applyAlignment="1">
      <alignment horizontal="center" vertical="center"/>
    </xf>
    <xf numFmtId="0" fontId="33" fillId="0" borderId="10" xfId="0" applyFont="1" applyBorder="1" applyAlignment="1">
      <alignment horizontal="center" vertical="center" wrapText="1"/>
    </xf>
    <xf numFmtId="0" fontId="33" fillId="0" borderId="27" xfId="0" applyFont="1" applyBorder="1" applyAlignment="1">
      <alignment horizontal="center" vertical="center" wrapText="1"/>
    </xf>
    <xf numFmtId="0" fontId="33" fillId="0" borderId="28" xfId="0" applyFont="1" applyBorder="1" applyAlignment="1">
      <alignment horizontal="center" vertical="center" wrapText="1"/>
    </xf>
    <xf numFmtId="0" fontId="33" fillId="0" borderId="23" xfId="0" applyFont="1" applyBorder="1" applyAlignment="1">
      <alignment horizontal="center" vertical="center" wrapText="1"/>
    </xf>
    <xf numFmtId="0" fontId="33" fillId="0" borderId="21" xfId="0" applyFont="1" applyBorder="1" applyAlignment="1">
      <alignment horizontal="center" vertical="center" wrapText="1"/>
    </xf>
    <xf numFmtId="0" fontId="33" fillId="0" borderId="15" xfId="0" applyFont="1" applyBorder="1" applyAlignment="1">
      <alignment horizontal="center" vertical="center" wrapText="1"/>
    </xf>
    <xf numFmtId="0" fontId="22" fillId="0" borderId="0" xfId="0" applyFont="1" applyAlignment="1">
      <alignment horizontal="left"/>
    </xf>
    <xf numFmtId="0" fontId="33" fillId="0" borderId="22" xfId="0" applyFont="1" applyBorder="1" applyAlignment="1">
      <alignment horizontal="center" vertical="center" wrapText="1"/>
    </xf>
    <xf numFmtId="0" fontId="33" fillId="0" borderId="18" xfId="0" applyFont="1" applyBorder="1" applyAlignment="1">
      <alignment horizontal="center" vertical="center" wrapText="1"/>
    </xf>
    <xf numFmtId="0" fontId="33" fillId="0" borderId="26" xfId="0" applyFont="1" applyBorder="1" applyAlignment="1">
      <alignment horizontal="center" vertical="center" wrapText="1"/>
    </xf>
    <xf numFmtId="0" fontId="33" fillId="0" borderId="20" xfId="0" applyFont="1" applyBorder="1" applyAlignment="1">
      <alignment horizontal="center" vertical="center" wrapText="1"/>
    </xf>
    <xf numFmtId="0" fontId="33" fillId="0" borderId="0" xfId="0" applyFont="1" applyBorder="1" applyAlignment="1">
      <alignment horizontal="center"/>
    </xf>
    <xf numFmtId="0" fontId="20" fillId="0" borderId="0" xfId="0" applyFont="1" applyAlignment="1">
      <alignment horizontal="center" vertical="center" wrapText="1"/>
    </xf>
    <xf numFmtId="0" fontId="21" fillId="0" borderId="0" xfId="0" applyFont="1" applyAlignment="1">
      <alignment horizontal="center" readingOrder="1"/>
    </xf>
    <xf numFmtId="0" fontId="24" fillId="0" borderId="21"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0" xfId="0" applyAlignment="1">
      <alignment horizontal="center"/>
    </xf>
    <xf numFmtId="0" fontId="24" fillId="0" borderId="27" xfId="0" applyFont="1" applyBorder="1" applyAlignment="1">
      <alignment horizontal="center" vertical="center" wrapText="1"/>
    </xf>
    <xf numFmtId="0" fontId="24" fillId="0" borderId="28" xfId="0" applyFont="1" applyBorder="1" applyAlignment="1">
      <alignment horizontal="center" vertical="center" wrapText="1"/>
    </xf>
    <xf numFmtId="0" fontId="24" fillId="0" borderId="23" xfId="0" applyFont="1" applyBorder="1" applyAlignment="1">
      <alignment horizontal="center" vertical="center" wrapText="1"/>
    </xf>
    <xf numFmtId="0" fontId="0" fillId="0" borderId="21" xfId="0" applyBorder="1" applyAlignment="1">
      <alignment horizontal="center"/>
    </xf>
    <xf numFmtId="0" fontId="0" fillId="0" borderId="15" xfId="0" applyBorder="1" applyAlignment="1">
      <alignment horizontal="center"/>
    </xf>
    <xf numFmtId="0" fontId="23" fillId="0" borderId="21" xfId="0" applyFont="1" applyBorder="1" applyAlignment="1">
      <alignment horizontal="center" vertical="center"/>
    </xf>
    <xf numFmtId="0" fontId="23" fillId="0" borderId="15" xfId="0" applyFont="1" applyBorder="1" applyAlignment="1">
      <alignment horizontal="center" vertical="center"/>
    </xf>
    <xf numFmtId="0" fontId="23" fillId="0" borderId="22" xfId="0" applyFont="1" applyBorder="1" applyAlignment="1">
      <alignment horizontal="center" vertical="center"/>
    </xf>
    <xf numFmtId="0" fontId="23" fillId="0" borderId="25" xfId="0" applyFont="1" applyBorder="1" applyAlignment="1">
      <alignment horizontal="center" vertical="center"/>
    </xf>
    <xf numFmtId="0" fontId="23" fillId="0" borderId="18" xfId="0" applyFont="1" applyBorder="1" applyAlignment="1">
      <alignment horizontal="center" vertical="center"/>
    </xf>
    <xf numFmtId="0" fontId="23" fillId="0" borderId="26" xfId="0" applyFont="1" applyBorder="1" applyAlignment="1">
      <alignment horizontal="center" vertical="center"/>
    </xf>
    <xf numFmtId="0" fontId="23" fillId="0" borderId="17" xfId="0" applyFont="1" applyBorder="1" applyAlignment="1">
      <alignment horizontal="center" vertical="center"/>
    </xf>
    <xf numFmtId="0" fontId="23" fillId="0" borderId="20" xfId="0" applyFont="1" applyBorder="1" applyAlignment="1">
      <alignment horizontal="center" vertical="center"/>
    </xf>
    <xf numFmtId="0" fontId="23" fillId="0" borderId="27" xfId="0" applyFont="1" applyBorder="1" applyAlignment="1">
      <alignment horizontal="center"/>
    </xf>
    <xf numFmtId="0" fontId="23" fillId="0" borderId="28" xfId="0" applyFont="1" applyBorder="1" applyAlignment="1">
      <alignment horizontal="center"/>
    </xf>
    <xf numFmtId="0" fontId="23" fillId="0" borderId="23" xfId="0" applyFont="1" applyBorder="1" applyAlignment="1">
      <alignment horizontal="center"/>
    </xf>
    <xf numFmtId="0" fontId="21" fillId="0" borderId="0" xfId="0" applyFont="1" applyBorder="1" applyAlignment="1">
      <alignment horizontal="left"/>
    </xf>
    <xf numFmtId="2" fontId="23" fillId="0" borderId="22" xfId="0" applyNumberFormat="1" applyFont="1" applyBorder="1" applyAlignment="1">
      <alignment horizontal="center" vertical="center" wrapText="1"/>
    </xf>
    <xf numFmtId="2" fontId="23" fillId="0" borderId="25" xfId="0" applyNumberFormat="1" applyFont="1" applyBorder="1" applyAlignment="1">
      <alignment horizontal="center" vertical="center" wrapText="1"/>
    </xf>
    <xf numFmtId="2" fontId="23" fillId="0" borderId="18" xfId="0" applyNumberFormat="1" applyFont="1" applyBorder="1" applyAlignment="1">
      <alignment horizontal="center" vertical="center" wrapText="1"/>
    </xf>
    <xf numFmtId="2" fontId="23" fillId="0" borderId="29" xfId="0" applyNumberFormat="1" applyFont="1" applyBorder="1" applyAlignment="1">
      <alignment horizontal="center" vertical="center" wrapText="1"/>
    </xf>
    <xf numFmtId="2" fontId="23" fillId="0" borderId="0" xfId="0" applyNumberFormat="1" applyFont="1" applyBorder="1" applyAlignment="1">
      <alignment horizontal="center" vertical="center" wrapText="1"/>
    </xf>
    <xf numFmtId="2" fontId="23" fillId="0" borderId="19" xfId="0" applyNumberFormat="1" applyFont="1" applyBorder="1" applyAlignment="1">
      <alignment horizontal="center" vertical="center" wrapText="1"/>
    </xf>
    <xf numFmtId="2" fontId="23" fillId="0" borderId="26" xfId="0" applyNumberFormat="1" applyFont="1" applyBorder="1" applyAlignment="1">
      <alignment horizontal="center" vertical="center" wrapText="1"/>
    </xf>
    <xf numFmtId="2" fontId="23" fillId="0" borderId="17" xfId="0" applyNumberFormat="1" applyFont="1" applyBorder="1" applyAlignment="1">
      <alignment horizontal="center" vertical="center" wrapText="1"/>
    </xf>
    <xf numFmtId="2" fontId="23" fillId="0" borderId="20" xfId="0" applyNumberFormat="1" applyFont="1" applyBorder="1" applyAlignment="1">
      <alignment horizontal="center" vertical="center" wrapText="1"/>
    </xf>
    <xf numFmtId="0" fontId="0" fillId="0" borderId="28" xfId="0" applyBorder="1"/>
    <xf numFmtId="0" fontId="0" fillId="0" borderId="23" xfId="0" applyBorder="1"/>
    <xf numFmtId="2" fontId="23" fillId="0" borderId="10" xfId="0" applyNumberFormat="1" applyFont="1" applyBorder="1" applyAlignment="1">
      <alignment horizontal="center" vertical="center" wrapText="1"/>
    </xf>
    <xf numFmtId="0" fontId="24" fillId="0" borderId="0" xfId="0" applyFont="1" applyAlignment="1">
      <alignment horizontal="left"/>
    </xf>
    <xf numFmtId="0" fontId="21" fillId="0" borderId="0" xfId="0" applyFont="1" applyBorder="1" applyAlignment="1">
      <alignment horizontal="right"/>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_Bieumau1" xfId="37" xr:uid="{00000000-0005-0000-0000-000025000000}"/>
    <cellStyle name="Note" xfId="38" builtinId="10" customBuiltin="1"/>
    <cellStyle name="Output" xfId="39" builtinId="21" customBuiltin="1"/>
    <cellStyle name="Title" xfId="40" builtinId="15" customBuiltin="1"/>
    <cellStyle name="Total" xfId="41" builtinId="25" customBuiltin="1"/>
    <cellStyle name="Warning Text" xfId="42"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609600</xdr:colOff>
          <xdr:row>8</xdr:row>
          <xdr:rowOff>180975</xdr:rowOff>
        </xdr:from>
        <xdr:to>
          <xdr:col>17</xdr:col>
          <xdr:colOff>457200</xdr:colOff>
          <xdr:row>9</xdr:row>
          <xdr:rowOff>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0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Điền thông tin "Mã CB" và "Chức danh, học vị" vào Mẫu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7146" name="Line 3">
          <a:extLst>
            <a:ext uri="{FF2B5EF4-FFF2-40B4-BE49-F238E27FC236}">
              <a16:creationId xmlns:a16="http://schemas.microsoft.com/office/drawing/2014/main" id="{00000000-0008-0000-0300-0000EA1B0000}"/>
            </a:ext>
          </a:extLst>
        </xdr:cNvPr>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7147" name="Line 3">
          <a:extLst>
            <a:ext uri="{FF2B5EF4-FFF2-40B4-BE49-F238E27FC236}">
              <a16:creationId xmlns:a16="http://schemas.microsoft.com/office/drawing/2014/main" id="{00000000-0008-0000-0300-0000EB1B0000}"/>
            </a:ext>
          </a:extLst>
        </xdr:cNvPr>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8" name="Rectangle 2">
          <a:extLst>
            <a:ext uri="{FF2B5EF4-FFF2-40B4-BE49-F238E27FC236}">
              <a16:creationId xmlns:a16="http://schemas.microsoft.com/office/drawing/2014/main" id="{00000000-0008-0000-0300-000008000000}"/>
            </a:ext>
          </a:extLst>
        </xdr:cNvPr>
        <xdr:cNvSpPr>
          <a:spLocks noChangeArrowheads="1"/>
        </xdr:cNvSpPr>
      </xdr:nvSpPr>
      <xdr:spPr bwMode="auto">
        <a:xfrm>
          <a:off x="12692742" y="472984"/>
          <a:ext cx="111596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twoCellAnchor>
    <xdr:from>
      <xdr:col>1</xdr:col>
      <xdr:colOff>809625</xdr:colOff>
      <xdr:row>3</xdr:row>
      <xdr:rowOff>47625</xdr:rowOff>
    </xdr:from>
    <xdr:to>
      <xdr:col>2</xdr:col>
      <xdr:colOff>2381250</xdr:colOff>
      <xdr:row>3</xdr:row>
      <xdr:rowOff>47625</xdr:rowOff>
    </xdr:to>
    <xdr:sp macro="" textlink="">
      <xdr:nvSpPr>
        <xdr:cNvPr id="5" name="Line 3">
          <a:extLst>
            <a:ext uri="{FF2B5EF4-FFF2-40B4-BE49-F238E27FC236}">
              <a16:creationId xmlns:a16="http://schemas.microsoft.com/office/drawing/2014/main" id="{00000000-0008-0000-0300-000005000000}"/>
            </a:ext>
          </a:extLst>
        </xdr:cNvPr>
        <xdr:cNvSpPr>
          <a:spLocks noChangeShapeType="1"/>
        </xdr:cNvSpPr>
      </xdr:nvSpPr>
      <xdr:spPr bwMode="auto">
        <a:xfrm flipV="1">
          <a:off x="1238250" y="819150"/>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6" name="Line 3">
          <a:extLst>
            <a:ext uri="{FF2B5EF4-FFF2-40B4-BE49-F238E27FC236}">
              <a16:creationId xmlns:a16="http://schemas.microsoft.com/office/drawing/2014/main" id="{00000000-0008-0000-0300-000006000000}"/>
            </a:ext>
          </a:extLst>
        </xdr:cNvPr>
        <xdr:cNvSpPr>
          <a:spLocks noChangeShapeType="1"/>
        </xdr:cNvSpPr>
      </xdr:nvSpPr>
      <xdr:spPr bwMode="auto">
        <a:xfrm flipV="1">
          <a:off x="8772525" y="542925"/>
          <a:ext cx="24669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1402442</xdr:colOff>
      <xdr:row>1</xdr:row>
      <xdr:rowOff>215809</xdr:rowOff>
    </xdr:from>
    <xdr:to>
      <xdr:col>15</xdr:col>
      <xdr:colOff>426054</xdr:colOff>
      <xdr:row>3</xdr:row>
      <xdr:rowOff>42097</xdr:rowOff>
    </xdr:to>
    <xdr:sp macro="" textlink="">
      <xdr:nvSpPr>
        <xdr:cNvPr id="7" name="Rectangle 2">
          <a:extLst>
            <a:ext uri="{FF2B5EF4-FFF2-40B4-BE49-F238E27FC236}">
              <a16:creationId xmlns:a16="http://schemas.microsoft.com/office/drawing/2014/main" id="{00000000-0008-0000-0300-000007000000}"/>
            </a:ext>
          </a:extLst>
        </xdr:cNvPr>
        <xdr:cNvSpPr>
          <a:spLocks noChangeArrowheads="1"/>
        </xdr:cNvSpPr>
      </xdr:nvSpPr>
      <xdr:spPr bwMode="auto">
        <a:xfrm>
          <a:off x="12765767" y="472984"/>
          <a:ext cx="976237"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1607" name="Line 3">
          <a:extLst>
            <a:ext uri="{FF2B5EF4-FFF2-40B4-BE49-F238E27FC236}">
              <a16:creationId xmlns:a16="http://schemas.microsoft.com/office/drawing/2014/main" id="{00000000-0008-0000-0400-000067540000}"/>
            </a:ext>
          </a:extLst>
        </xdr:cNvPr>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21608" name="Line 3">
          <a:extLst>
            <a:ext uri="{FF2B5EF4-FFF2-40B4-BE49-F238E27FC236}">
              <a16:creationId xmlns:a16="http://schemas.microsoft.com/office/drawing/2014/main" id="{00000000-0008-0000-0400-000068540000}"/>
            </a:ext>
          </a:extLst>
        </xdr:cNvPr>
        <xdr:cNvSpPr>
          <a:spLocks noChangeShapeType="1"/>
        </xdr:cNvSpPr>
      </xdr:nvSpPr>
      <xdr:spPr bwMode="auto">
        <a:xfrm flipV="1">
          <a:off x="89820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442186</xdr:colOff>
      <xdr:row>3</xdr:row>
      <xdr:rowOff>42097</xdr:rowOff>
    </xdr:to>
    <xdr:sp macro="" textlink="">
      <xdr:nvSpPr>
        <xdr:cNvPr id="7" name="Rectangle 2">
          <a:extLst>
            <a:ext uri="{FF2B5EF4-FFF2-40B4-BE49-F238E27FC236}">
              <a16:creationId xmlns:a16="http://schemas.microsoft.com/office/drawing/2014/main" id="{00000000-0008-0000-0400-000007000000}"/>
            </a:ext>
          </a:extLst>
        </xdr:cNvPr>
        <xdr:cNvSpPr>
          <a:spLocks noChangeArrowheads="1"/>
        </xdr:cNvSpPr>
      </xdr:nvSpPr>
      <xdr:spPr bwMode="auto">
        <a:xfrm>
          <a:off x="13959567" y="472984"/>
          <a:ext cx="1114177"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twoCellAnchor>
    <xdr:from>
      <xdr:col>1</xdr:col>
      <xdr:colOff>809625</xdr:colOff>
      <xdr:row>3</xdr:row>
      <xdr:rowOff>47625</xdr:rowOff>
    </xdr:from>
    <xdr:to>
      <xdr:col>2</xdr:col>
      <xdr:colOff>2381250</xdr:colOff>
      <xdr:row>3</xdr:row>
      <xdr:rowOff>47625</xdr:rowOff>
    </xdr:to>
    <xdr:sp macro="" textlink="">
      <xdr:nvSpPr>
        <xdr:cNvPr id="5" name="Line 3">
          <a:extLst>
            <a:ext uri="{FF2B5EF4-FFF2-40B4-BE49-F238E27FC236}">
              <a16:creationId xmlns:a16="http://schemas.microsoft.com/office/drawing/2014/main" id="{00000000-0008-0000-0400-000005000000}"/>
            </a:ext>
          </a:extLst>
        </xdr:cNvPr>
        <xdr:cNvSpPr>
          <a:spLocks noChangeShapeType="1"/>
        </xdr:cNvSpPr>
      </xdr:nvSpPr>
      <xdr:spPr bwMode="auto">
        <a:xfrm flipV="1">
          <a:off x="1238250" y="819150"/>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6" name="Line 3">
          <a:extLst>
            <a:ext uri="{FF2B5EF4-FFF2-40B4-BE49-F238E27FC236}">
              <a16:creationId xmlns:a16="http://schemas.microsoft.com/office/drawing/2014/main" id="{00000000-0008-0000-0400-000006000000}"/>
            </a:ext>
          </a:extLst>
        </xdr:cNvPr>
        <xdr:cNvSpPr>
          <a:spLocks noChangeShapeType="1"/>
        </xdr:cNvSpPr>
      </xdr:nvSpPr>
      <xdr:spPr bwMode="auto">
        <a:xfrm flipV="1">
          <a:off x="8677275" y="542925"/>
          <a:ext cx="24669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1392917</xdr:colOff>
      <xdr:row>1</xdr:row>
      <xdr:rowOff>215809</xdr:rowOff>
    </xdr:from>
    <xdr:to>
      <xdr:col>15</xdr:col>
      <xdr:colOff>435221</xdr:colOff>
      <xdr:row>3</xdr:row>
      <xdr:rowOff>42097</xdr:rowOff>
    </xdr:to>
    <xdr:sp macro="" textlink="">
      <xdr:nvSpPr>
        <xdr:cNvPr id="8" name="Rectangle 2">
          <a:extLst>
            <a:ext uri="{FF2B5EF4-FFF2-40B4-BE49-F238E27FC236}">
              <a16:creationId xmlns:a16="http://schemas.microsoft.com/office/drawing/2014/main" id="{00000000-0008-0000-0400-000008000000}"/>
            </a:ext>
          </a:extLst>
        </xdr:cNvPr>
        <xdr:cNvSpPr>
          <a:spLocks noChangeArrowheads="1"/>
        </xdr:cNvSpPr>
      </xdr:nvSpPr>
      <xdr:spPr bwMode="auto">
        <a:xfrm>
          <a:off x="12660992" y="472984"/>
          <a:ext cx="994929"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13547" name="Line 3">
          <a:extLst>
            <a:ext uri="{FF2B5EF4-FFF2-40B4-BE49-F238E27FC236}">
              <a16:creationId xmlns:a16="http://schemas.microsoft.com/office/drawing/2014/main" id="{00000000-0008-0000-0500-0000EB340000}"/>
            </a:ext>
          </a:extLst>
        </xdr:cNvPr>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13548" name="Line 3">
          <a:extLst>
            <a:ext uri="{FF2B5EF4-FFF2-40B4-BE49-F238E27FC236}">
              <a16:creationId xmlns:a16="http://schemas.microsoft.com/office/drawing/2014/main" id="{00000000-0008-0000-0500-0000EC340000}"/>
            </a:ext>
          </a:extLst>
        </xdr:cNvPr>
        <xdr:cNvSpPr>
          <a:spLocks noChangeShapeType="1"/>
        </xdr:cNvSpPr>
      </xdr:nvSpPr>
      <xdr:spPr bwMode="auto">
        <a:xfrm flipV="1">
          <a:off x="8477250"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422063</xdr:colOff>
      <xdr:row>3</xdr:row>
      <xdr:rowOff>42097</xdr:rowOff>
    </xdr:to>
    <xdr:sp macro="" textlink="">
      <xdr:nvSpPr>
        <xdr:cNvPr id="4" name="Rectangle 2">
          <a:extLst>
            <a:ext uri="{FF2B5EF4-FFF2-40B4-BE49-F238E27FC236}">
              <a16:creationId xmlns:a16="http://schemas.microsoft.com/office/drawing/2014/main" id="{00000000-0008-0000-0500-000004000000}"/>
            </a:ext>
          </a:extLst>
        </xdr:cNvPr>
        <xdr:cNvSpPr>
          <a:spLocks noChangeArrowheads="1"/>
        </xdr:cNvSpPr>
      </xdr:nvSpPr>
      <xdr:spPr bwMode="auto">
        <a:xfrm>
          <a:off x="12492717" y="472984"/>
          <a:ext cx="98231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15547" name="Line 3">
          <a:extLst>
            <a:ext uri="{FF2B5EF4-FFF2-40B4-BE49-F238E27FC236}">
              <a16:creationId xmlns:a16="http://schemas.microsoft.com/office/drawing/2014/main" id="{00000000-0008-0000-0600-0000BB3C0000}"/>
            </a:ext>
          </a:extLst>
        </xdr:cNvPr>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15548" name="Line 3">
          <a:extLst>
            <a:ext uri="{FF2B5EF4-FFF2-40B4-BE49-F238E27FC236}">
              <a16:creationId xmlns:a16="http://schemas.microsoft.com/office/drawing/2014/main" id="{00000000-0008-0000-0600-0000BC3C0000}"/>
            </a:ext>
          </a:extLst>
        </xdr:cNvPr>
        <xdr:cNvSpPr>
          <a:spLocks noChangeShapeType="1"/>
        </xdr:cNvSpPr>
      </xdr:nvSpPr>
      <xdr:spPr bwMode="auto">
        <a:xfrm flipV="1">
          <a:off x="8477250"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422063</xdr:colOff>
      <xdr:row>3</xdr:row>
      <xdr:rowOff>42097</xdr:rowOff>
    </xdr:to>
    <xdr:sp macro="" textlink="">
      <xdr:nvSpPr>
        <xdr:cNvPr id="4" name="Rectangle 2">
          <a:extLst>
            <a:ext uri="{FF2B5EF4-FFF2-40B4-BE49-F238E27FC236}">
              <a16:creationId xmlns:a16="http://schemas.microsoft.com/office/drawing/2014/main" id="{00000000-0008-0000-0600-000004000000}"/>
            </a:ext>
          </a:extLst>
        </xdr:cNvPr>
        <xdr:cNvSpPr>
          <a:spLocks noChangeArrowheads="1"/>
        </xdr:cNvSpPr>
      </xdr:nvSpPr>
      <xdr:spPr bwMode="auto">
        <a:xfrm>
          <a:off x="12492717" y="472984"/>
          <a:ext cx="982313" cy="35301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 name="Line 3">
          <a:extLst>
            <a:ext uri="{FF2B5EF4-FFF2-40B4-BE49-F238E27FC236}">
              <a16:creationId xmlns:a16="http://schemas.microsoft.com/office/drawing/2014/main" id="{00000000-0008-0000-0700-000002000000}"/>
            </a:ext>
          </a:extLst>
        </xdr:cNvPr>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3" name="Line 3">
          <a:extLst>
            <a:ext uri="{FF2B5EF4-FFF2-40B4-BE49-F238E27FC236}">
              <a16:creationId xmlns:a16="http://schemas.microsoft.com/office/drawing/2014/main" id="{00000000-0008-0000-0700-000003000000}"/>
            </a:ext>
          </a:extLst>
        </xdr:cNvPr>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4" name="Rectangle 2">
          <a:extLst>
            <a:ext uri="{FF2B5EF4-FFF2-40B4-BE49-F238E27FC236}">
              <a16:creationId xmlns:a16="http://schemas.microsoft.com/office/drawing/2014/main" id="{00000000-0008-0000-0700-000004000000}"/>
            </a:ext>
          </a:extLst>
        </xdr:cNvPr>
        <xdr:cNvSpPr>
          <a:spLocks noChangeArrowheads="1"/>
        </xdr:cNvSpPr>
      </xdr:nvSpPr>
      <xdr:spPr bwMode="auto">
        <a:xfrm>
          <a:off x="11244942" y="472984"/>
          <a:ext cx="993128"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809625</xdr:colOff>
      <xdr:row>3</xdr:row>
      <xdr:rowOff>38100</xdr:rowOff>
    </xdr:from>
    <xdr:to>
      <xdr:col>2</xdr:col>
      <xdr:colOff>2381250</xdr:colOff>
      <xdr:row>3</xdr:row>
      <xdr:rowOff>38100</xdr:rowOff>
    </xdr:to>
    <xdr:sp macro="" textlink="">
      <xdr:nvSpPr>
        <xdr:cNvPr id="2" name="Line 3">
          <a:extLst>
            <a:ext uri="{FF2B5EF4-FFF2-40B4-BE49-F238E27FC236}">
              <a16:creationId xmlns:a16="http://schemas.microsoft.com/office/drawing/2014/main" id="{00000000-0008-0000-0800-000002000000}"/>
            </a:ext>
          </a:extLst>
        </xdr:cNvPr>
        <xdr:cNvSpPr>
          <a:spLocks noChangeShapeType="1"/>
        </xdr:cNvSpPr>
      </xdr:nvSpPr>
      <xdr:spPr bwMode="auto">
        <a:xfrm flipV="1">
          <a:off x="1238250" y="809625"/>
          <a:ext cx="24098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457200</xdr:colOff>
      <xdr:row>2</xdr:row>
      <xdr:rowOff>28575</xdr:rowOff>
    </xdr:from>
    <xdr:to>
      <xdr:col>13</xdr:col>
      <xdr:colOff>676275</xdr:colOff>
      <xdr:row>2</xdr:row>
      <xdr:rowOff>28575</xdr:rowOff>
    </xdr:to>
    <xdr:sp macro="" textlink="">
      <xdr:nvSpPr>
        <xdr:cNvPr id="3" name="Line 3">
          <a:extLst>
            <a:ext uri="{FF2B5EF4-FFF2-40B4-BE49-F238E27FC236}">
              <a16:creationId xmlns:a16="http://schemas.microsoft.com/office/drawing/2014/main" id="{00000000-0008-0000-0800-000003000000}"/>
            </a:ext>
          </a:extLst>
        </xdr:cNvPr>
        <xdr:cNvSpPr>
          <a:spLocks noChangeShapeType="1"/>
        </xdr:cNvSpPr>
      </xdr:nvSpPr>
      <xdr:spPr bwMode="auto">
        <a:xfrm flipV="1">
          <a:off x="7267575" y="542925"/>
          <a:ext cx="24574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1405617</xdr:colOff>
      <xdr:row>1</xdr:row>
      <xdr:rowOff>215809</xdr:rowOff>
    </xdr:from>
    <xdr:to>
      <xdr:col>15</xdr:col>
      <xdr:colOff>446120</xdr:colOff>
      <xdr:row>3</xdr:row>
      <xdr:rowOff>42097</xdr:rowOff>
    </xdr:to>
    <xdr:sp macro="" textlink="">
      <xdr:nvSpPr>
        <xdr:cNvPr id="4" name="Rectangle 2">
          <a:extLst>
            <a:ext uri="{FF2B5EF4-FFF2-40B4-BE49-F238E27FC236}">
              <a16:creationId xmlns:a16="http://schemas.microsoft.com/office/drawing/2014/main" id="{00000000-0008-0000-0800-000004000000}"/>
            </a:ext>
          </a:extLst>
        </xdr:cNvPr>
        <xdr:cNvSpPr>
          <a:spLocks noChangeArrowheads="1"/>
        </xdr:cNvSpPr>
      </xdr:nvSpPr>
      <xdr:spPr bwMode="auto">
        <a:xfrm>
          <a:off x="11244942" y="472984"/>
          <a:ext cx="993128" cy="34063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700" b="1" i="0" strike="noStrike">
              <a:solidFill>
                <a:srgbClr val="000000"/>
              </a:solidFill>
              <a:latin typeface="Times New Roman"/>
              <a:cs typeface="Times New Roman"/>
            </a:rPr>
            <a:t>Mẫu 1M</a:t>
          </a:r>
        </a:p>
        <a:p>
          <a:pPr algn="ctr" rtl="1">
            <a:defRPr sz="1000"/>
          </a:pPr>
          <a:endParaRPr lang="en-US" sz="1700" b="1" i="0" strike="noStrike">
            <a:solidFill>
              <a:srgbClr val="000000"/>
            </a:solidFill>
            <a:latin typeface="Times New Roman"/>
            <a:cs typeface="Times New Roman"/>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47625</xdr:colOff>
      <xdr:row>2</xdr:row>
      <xdr:rowOff>9525</xdr:rowOff>
    </xdr:from>
    <xdr:to>
      <xdr:col>17</xdr:col>
      <xdr:colOff>76200</xdr:colOff>
      <xdr:row>2</xdr:row>
      <xdr:rowOff>9525</xdr:rowOff>
    </xdr:to>
    <xdr:sp macro="" textlink="">
      <xdr:nvSpPr>
        <xdr:cNvPr id="24605" name="Line 4">
          <a:extLst>
            <a:ext uri="{FF2B5EF4-FFF2-40B4-BE49-F238E27FC236}">
              <a16:creationId xmlns:a16="http://schemas.microsoft.com/office/drawing/2014/main" id="{00000000-0008-0000-0900-00001D600000}"/>
            </a:ext>
          </a:extLst>
        </xdr:cNvPr>
        <xdr:cNvSpPr>
          <a:spLocks noChangeShapeType="1"/>
        </xdr:cNvSpPr>
      </xdr:nvSpPr>
      <xdr:spPr bwMode="auto">
        <a:xfrm>
          <a:off x="8534400" y="466725"/>
          <a:ext cx="1962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514350</xdr:colOff>
      <xdr:row>3</xdr:row>
      <xdr:rowOff>28575</xdr:rowOff>
    </xdr:from>
    <xdr:to>
      <xdr:col>3</xdr:col>
      <xdr:colOff>257175</xdr:colOff>
      <xdr:row>3</xdr:row>
      <xdr:rowOff>28575</xdr:rowOff>
    </xdr:to>
    <xdr:sp macro="" textlink="">
      <xdr:nvSpPr>
        <xdr:cNvPr id="24606" name="Line 5">
          <a:extLst>
            <a:ext uri="{FF2B5EF4-FFF2-40B4-BE49-F238E27FC236}">
              <a16:creationId xmlns:a16="http://schemas.microsoft.com/office/drawing/2014/main" id="{00000000-0008-0000-0900-00001E600000}"/>
            </a:ext>
          </a:extLst>
        </xdr:cNvPr>
        <xdr:cNvSpPr>
          <a:spLocks noChangeShapeType="1"/>
        </xdr:cNvSpPr>
      </xdr:nvSpPr>
      <xdr:spPr bwMode="auto">
        <a:xfrm>
          <a:off x="885825" y="704850"/>
          <a:ext cx="19335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251514</xdr:colOff>
      <xdr:row>2</xdr:row>
      <xdr:rowOff>38929</xdr:rowOff>
    </xdr:from>
    <xdr:to>
      <xdr:col>18</xdr:col>
      <xdr:colOff>618386</xdr:colOff>
      <xdr:row>3</xdr:row>
      <xdr:rowOff>70197</xdr:rowOff>
    </xdr:to>
    <xdr:sp macro="" textlink="">
      <xdr:nvSpPr>
        <xdr:cNvPr id="1482" name="Rectangle 2">
          <a:extLst>
            <a:ext uri="{FF2B5EF4-FFF2-40B4-BE49-F238E27FC236}">
              <a16:creationId xmlns:a16="http://schemas.microsoft.com/office/drawing/2014/main" id="{00000000-0008-0000-0900-0000CA050000}"/>
            </a:ext>
          </a:extLst>
        </xdr:cNvPr>
        <xdr:cNvSpPr>
          <a:spLocks noChangeArrowheads="1"/>
        </xdr:cNvSpPr>
      </xdr:nvSpPr>
      <xdr:spPr bwMode="auto">
        <a:xfrm>
          <a:off x="10628242" y="502755"/>
          <a:ext cx="768627" cy="245993"/>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0">
            <a:defRPr sz="1000"/>
          </a:pPr>
          <a:r>
            <a:rPr lang="en-US" sz="1200" b="1" i="0" u="none" strike="noStrike" baseline="0">
              <a:solidFill>
                <a:srgbClr val="000000"/>
              </a:solidFill>
              <a:latin typeface="Times New Roman"/>
              <a:cs typeface="Times New Roman"/>
            </a:rPr>
            <a:t>Mẫu 2M</a:t>
          </a:r>
        </a:p>
        <a:p>
          <a:pPr algn="ctr" rtl="0">
            <a:defRPr sz="1000"/>
          </a:pPr>
          <a:endParaRPr lang="en-US" sz="1200" b="1" i="0" u="none" strike="noStrike" baseline="0">
            <a:solidFill>
              <a:srgbClr val="000000"/>
            </a:solidFill>
            <a:latin typeface="Times New Roman"/>
            <a:cs typeface="Times New Roman"/>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266700</xdr:colOff>
      <xdr:row>3</xdr:row>
      <xdr:rowOff>0</xdr:rowOff>
    </xdr:from>
    <xdr:to>
      <xdr:col>1</xdr:col>
      <xdr:colOff>2133600</xdr:colOff>
      <xdr:row>3</xdr:row>
      <xdr:rowOff>0</xdr:rowOff>
    </xdr:to>
    <xdr:sp macro="" textlink="">
      <xdr:nvSpPr>
        <xdr:cNvPr id="2" name="Line 5">
          <a:extLst>
            <a:ext uri="{FF2B5EF4-FFF2-40B4-BE49-F238E27FC236}">
              <a16:creationId xmlns:a16="http://schemas.microsoft.com/office/drawing/2014/main" id="{00000000-0008-0000-0A00-000002000000}"/>
            </a:ext>
          </a:extLst>
        </xdr:cNvPr>
        <xdr:cNvSpPr>
          <a:spLocks noChangeShapeType="1"/>
        </xdr:cNvSpPr>
      </xdr:nvSpPr>
      <xdr:spPr bwMode="auto">
        <a:xfrm>
          <a:off x="619125" y="685800"/>
          <a:ext cx="1866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106120</xdr:colOff>
      <xdr:row>2</xdr:row>
      <xdr:rowOff>117475</xdr:rowOff>
    </xdr:from>
    <xdr:to>
      <xdr:col>13</xdr:col>
      <xdr:colOff>916576</xdr:colOff>
      <xdr:row>3</xdr:row>
      <xdr:rowOff>150875</xdr:rowOff>
    </xdr:to>
    <xdr:sp macro="" textlink="">
      <xdr:nvSpPr>
        <xdr:cNvPr id="3" name="Rectangle 2">
          <a:extLst>
            <a:ext uri="{FF2B5EF4-FFF2-40B4-BE49-F238E27FC236}">
              <a16:creationId xmlns:a16="http://schemas.microsoft.com/office/drawing/2014/main" id="{00000000-0008-0000-0A00-000003000000}"/>
            </a:ext>
          </a:extLst>
        </xdr:cNvPr>
        <xdr:cNvSpPr>
          <a:spLocks noChangeArrowheads="1"/>
        </xdr:cNvSpPr>
      </xdr:nvSpPr>
      <xdr:spPr bwMode="auto">
        <a:xfrm>
          <a:off x="8964370" y="574675"/>
          <a:ext cx="810456" cy="262000"/>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0">
            <a:defRPr sz="1000"/>
          </a:pPr>
          <a:r>
            <a:rPr lang="en-US" sz="1200" b="1" i="0" u="none" strike="noStrike" baseline="0">
              <a:solidFill>
                <a:srgbClr val="000000"/>
              </a:solidFill>
              <a:latin typeface="Times New Roman"/>
              <a:cs typeface="Times New Roman"/>
            </a:rPr>
            <a:t>Mẫu  3B-M</a:t>
          </a:r>
        </a:p>
      </xdr:txBody>
    </xdr:sp>
    <xdr:clientData/>
  </xdr:twoCellAnchor>
  <xdr:twoCellAnchor>
    <xdr:from>
      <xdr:col>11</xdr:col>
      <xdr:colOff>28575</xdr:colOff>
      <xdr:row>2</xdr:row>
      <xdr:rowOff>28575</xdr:rowOff>
    </xdr:from>
    <xdr:to>
      <xdr:col>12</xdr:col>
      <xdr:colOff>114300</xdr:colOff>
      <xdr:row>2</xdr:row>
      <xdr:rowOff>28575</xdr:rowOff>
    </xdr:to>
    <xdr:sp macro="" textlink="">
      <xdr:nvSpPr>
        <xdr:cNvPr id="4" name="Line 5">
          <a:extLst>
            <a:ext uri="{FF2B5EF4-FFF2-40B4-BE49-F238E27FC236}">
              <a16:creationId xmlns:a16="http://schemas.microsoft.com/office/drawing/2014/main" id="{00000000-0008-0000-0A00-000004000000}"/>
            </a:ext>
          </a:extLst>
        </xdr:cNvPr>
        <xdr:cNvSpPr>
          <a:spLocks noChangeShapeType="1"/>
        </xdr:cNvSpPr>
      </xdr:nvSpPr>
      <xdr:spPr bwMode="auto">
        <a:xfrm>
          <a:off x="6391275" y="485775"/>
          <a:ext cx="1790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15</xdr:col>
      <xdr:colOff>0</xdr:colOff>
      <xdr:row>2</xdr:row>
      <xdr:rowOff>47625</xdr:rowOff>
    </xdr:from>
    <xdr:to>
      <xdr:col>15</xdr:col>
      <xdr:colOff>0</xdr:colOff>
      <xdr:row>2</xdr:row>
      <xdr:rowOff>47625</xdr:rowOff>
    </xdr:to>
    <xdr:sp macro="" textlink="">
      <xdr:nvSpPr>
        <xdr:cNvPr id="2" name="Line 2">
          <a:extLst>
            <a:ext uri="{FF2B5EF4-FFF2-40B4-BE49-F238E27FC236}">
              <a16:creationId xmlns:a16="http://schemas.microsoft.com/office/drawing/2014/main" id="{00000000-0008-0000-0B00-000002000000}"/>
            </a:ext>
          </a:extLst>
        </xdr:cNvPr>
        <xdr:cNvSpPr>
          <a:spLocks noChangeShapeType="1"/>
        </xdr:cNvSpPr>
      </xdr:nvSpPr>
      <xdr:spPr bwMode="auto">
        <a:xfrm>
          <a:off x="14811375" y="504825"/>
          <a:ext cx="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180975</xdr:colOff>
      <xdr:row>3</xdr:row>
      <xdr:rowOff>28575</xdr:rowOff>
    </xdr:from>
    <xdr:to>
      <xdr:col>3</xdr:col>
      <xdr:colOff>200025</xdr:colOff>
      <xdr:row>3</xdr:row>
      <xdr:rowOff>28575</xdr:rowOff>
    </xdr:to>
    <xdr:sp macro="" textlink="">
      <xdr:nvSpPr>
        <xdr:cNvPr id="3" name="Line 6">
          <a:extLst>
            <a:ext uri="{FF2B5EF4-FFF2-40B4-BE49-F238E27FC236}">
              <a16:creationId xmlns:a16="http://schemas.microsoft.com/office/drawing/2014/main" id="{00000000-0008-0000-0B00-000003000000}"/>
            </a:ext>
          </a:extLst>
        </xdr:cNvPr>
        <xdr:cNvSpPr>
          <a:spLocks noChangeShapeType="1"/>
        </xdr:cNvSpPr>
      </xdr:nvSpPr>
      <xdr:spPr bwMode="auto">
        <a:xfrm>
          <a:off x="561975" y="742950"/>
          <a:ext cx="26765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267815</xdr:colOff>
      <xdr:row>1</xdr:row>
      <xdr:rowOff>112541</xdr:rowOff>
    </xdr:from>
    <xdr:to>
      <xdr:col>14</xdr:col>
      <xdr:colOff>533876</xdr:colOff>
      <xdr:row>2</xdr:row>
      <xdr:rowOff>172699</xdr:rowOff>
    </xdr:to>
    <xdr:sp macro="" textlink="">
      <xdr:nvSpPr>
        <xdr:cNvPr id="4" name="Rectangle 2">
          <a:extLst>
            <a:ext uri="{FF2B5EF4-FFF2-40B4-BE49-F238E27FC236}">
              <a16:creationId xmlns:a16="http://schemas.microsoft.com/office/drawing/2014/main" id="{00000000-0008-0000-0B00-000004000000}"/>
            </a:ext>
          </a:extLst>
        </xdr:cNvPr>
        <xdr:cNvSpPr>
          <a:spLocks noChangeArrowheads="1"/>
        </xdr:cNvSpPr>
      </xdr:nvSpPr>
      <xdr:spPr bwMode="auto">
        <a:xfrm>
          <a:off x="12526490" y="341141"/>
          <a:ext cx="1599561" cy="288758"/>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Times New Roman"/>
              <a:cs typeface="Times New Roman"/>
            </a:rPr>
            <a:t>Mẫu 4M</a:t>
          </a:r>
        </a:p>
      </xdr:txBody>
    </xdr:sp>
    <xdr:clientData/>
  </xdr:twoCellAnchor>
  <xdr:twoCellAnchor>
    <xdr:from>
      <xdr:col>7</xdr:col>
      <xdr:colOff>123825</xdr:colOff>
      <xdr:row>2</xdr:row>
      <xdr:rowOff>28575</xdr:rowOff>
    </xdr:from>
    <xdr:to>
      <xdr:col>10</xdr:col>
      <xdr:colOff>333375</xdr:colOff>
      <xdr:row>2</xdr:row>
      <xdr:rowOff>28575</xdr:rowOff>
    </xdr:to>
    <xdr:sp macro="" textlink="">
      <xdr:nvSpPr>
        <xdr:cNvPr id="5" name="Line 6">
          <a:extLst>
            <a:ext uri="{FF2B5EF4-FFF2-40B4-BE49-F238E27FC236}">
              <a16:creationId xmlns:a16="http://schemas.microsoft.com/office/drawing/2014/main" id="{00000000-0008-0000-0B00-000005000000}"/>
            </a:ext>
          </a:extLst>
        </xdr:cNvPr>
        <xdr:cNvSpPr>
          <a:spLocks noChangeShapeType="1"/>
        </xdr:cNvSpPr>
      </xdr:nvSpPr>
      <xdr:spPr bwMode="auto">
        <a:xfrm>
          <a:off x="8953500" y="485775"/>
          <a:ext cx="30384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200025</xdr:colOff>
      <xdr:row>3</xdr:row>
      <xdr:rowOff>9525</xdr:rowOff>
    </xdr:from>
    <xdr:to>
      <xdr:col>1</xdr:col>
      <xdr:colOff>2190750</xdr:colOff>
      <xdr:row>3</xdr:row>
      <xdr:rowOff>9525</xdr:rowOff>
    </xdr:to>
    <xdr:sp macro="" textlink="">
      <xdr:nvSpPr>
        <xdr:cNvPr id="2" name="Line 3">
          <a:extLst>
            <a:ext uri="{FF2B5EF4-FFF2-40B4-BE49-F238E27FC236}">
              <a16:creationId xmlns:a16="http://schemas.microsoft.com/office/drawing/2014/main" id="{00000000-0008-0000-0C00-000002000000}"/>
            </a:ext>
          </a:extLst>
        </xdr:cNvPr>
        <xdr:cNvSpPr>
          <a:spLocks noChangeShapeType="1"/>
        </xdr:cNvSpPr>
      </xdr:nvSpPr>
      <xdr:spPr bwMode="auto">
        <a:xfrm flipV="1">
          <a:off x="838200" y="666750"/>
          <a:ext cx="19907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1428750</xdr:colOff>
      <xdr:row>2</xdr:row>
      <xdr:rowOff>9525</xdr:rowOff>
    </xdr:from>
    <xdr:to>
      <xdr:col>6</xdr:col>
      <xdr:colOff>266700</xdr:colOff>
      <xdr:row>2</xdr:row>
      <xdr:rowOff>9525</xdr:rowOff>
    </xdr:to>
    <xdr:sp macro="" textlink="">
      <xdr:nvSpPr>
        <xdr:cNvPr id="3" name="Line 4">
          <a:extLst>
            <a:ext uri="{FF2B5EF4-FFF2-40B4-BE49-F238E27FC236}">
              <a16:creationId xmlns:a16="http://schemas.microsoft.com/office/drawing/2014/main" id="{00000000-0008-0000-0C00-000003000000}"/>
            </a:ext>
          </a:extLst>
        </xdr:cNvPr>
        <xdr:cNvSpPr>
          <a:spLocks noChangeShapeType="1"/>
        </xdr:cNvSpPr>
      </xdr:nvSpPr>
      <xdr:spPr bwMode="auto">
        <a:xfrm flipV="1">
          <a:off x="5067300" y="447675"/>
          <a:ext cx="1952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17</xdr:row>
      <xdr:rowOff>165928</xdr:rowOff>
    </xdr:from>
    <xdr:to>
      <xdr:col>9</xdr:col>
      <xdr:colOff>437270</xdr:colOff>
      <xdr:row>23</xdr:row>
      <xdr:rowOff>274121</xdr:rowOff>
    </xdr:to>
    <xdr:sp macro="" textlink="">
      <xdr:nvSpPr>
        <xdr:cNvPr id="4" name="Text Box 5">
          <a:extLst>
            <a:ext uri="{FF2B5EF4-FFF2-40B4-BE49-F238E27FC236}">
              <a16:creationId xmlns:a16="http://schemas.microsoft.com/office/drawing/2014/main" id="{00000000-0008-0000-0C00-000004000000}"/>
            </a:ext>
          </a:extLst>
        </xdr:cNvPr>
        <xdr:cNvSpPr txBox="1">
          <a:spLocks noChangeArrowheads="1"/>
        </xdr:cNvSpPr>
      </xdr:nvSpPr>
      <xdr:spPr bwMode="auto">
        <a:xfrm>
          <a:off x="0" y="5080828"/>
          <a:ext cx="8866895" cy="1632193"/>
        </a:xfrm>
        <a:prstGeom prst="rect">
          <a:avLst/>
        </a:prstGeom>
        <a:noFill/>
        <a:ln w="9525">
          <a:noFill/>
          <a:miter lim="800000"/>
          <a:headEnd/>
          <a:tailEnd/>
        </a:ln>
      </xdr:spPr>
      <xdr:txBody>
        <a:bodyPr vertOverflow="clip" wrap="square" lIns="36576" tIns="22860" rIns="0" bIns="0" anchor="t" upright="1"/>
        <a:lstStyle/>
        <a:p>
          <a:pPr algn="l" rtl="1">
            <a:defRPr sz="1000"/>
          </a:pPr>
          <a:r>
            <a:rPr lang="vi-VN" sz="1200" b="1" i="0" strike="noStrike">
              <a:solidFill>
                <a:srgbClr val="000000"/>
              </a:solidFill>
              <a:latin typeface="Tahoma"/>
              <a:cs typeface="Tahoma"/>
            </a:rPr>
            <a:t>  </a:t>
          </a:r>
          <a:endParaRPr lang="vi-VN" sz="1200" b="0" i="0" strike="noStrike">
            <a:solidFill>
              <a:srgbClr val="000000"/>
            </a:solidFill>
            <a:latin typeface="Tahoma"/>
            <a:cs typeface="Tahoma"/>
          </a:endParaRPr>
        </a:p>
        <a:p>
          <a:pPr algn="l" rtl="1">
            <a:defRPr sz="1000"/>
          </a:pPr>
          <a:r>
            <a:rPr lang="vi-VN" sz="1200" b="0" i="0" strike="noStrike">
              <a:solidFill>
                <a:srgbClr val="000000"/>
              </a:solidFill>
              <a:latin typeface="Tahoma"/>
              <a:cs typeface="Tahoma"/>
            </a:rPr>
            <a:t>      </a:t>
          </a:r>
          <a:r>
            <a:rPr lang="vi-VN" sz="1200" b="0" i="0" strike="noStrike">
              <a:solidFill>
                <a:srgbClr val="000000"/>
              </a:solidFill>
              <a:latin typeface="Times New Roman"/>
              <a:cs typeface="Times New Roman"/>
            </a:rPr>
            <a:t>Các hoạt động tập trung ngoài trường của sinh viên là những hoạt động trong chương trình đào tạo, do các ngành đào tạo tổ chức, đòi hỏi sinh viên phải ngừng học tại Trường trong một khoảng thời gian nhất định. Ví dụ: Thực tập chuyên môn, nghiệp vụ tại các cơ sở; tham quan, thực tế bộ môn, làm luận văn tốt nghiệp …</a:t>
          </a:r>
        </a:p>
        <a:p>
          <a:pPr algn="l" rtl="1">
            <a:defRPr sz="1000"/>
          </a:pPr>
          <a:r>
            <a:rPr lang="vi-VN" sz="1200" b="0" i="0" strike="noStrike">
              <a:solidFill>
                <a:srgbClr val="000000"/>
              </a:solidFill>
              <a:latin typeface="Times New Roman"/>
              <a:cs typeface="Times New Roman"/>
            </a:rPr>
            <a:t>       Xác định các hoạt động tập trung ngoài trường của sinh viên nhằm mục đích:</a:t>
          </a:r>
        </a:p>
        <a:p>
          <a:pPr algn="l" rtl="1">
            <a:defRPr sz="1000"/>
          </a:pPr>
          <a:r>
            <a:rPr lang="vi-VN" sz="1200" b="0" i="0" strike="noStrike">
              <a:solidFill>
                <a:srgbClr val="000000"/>
              </a:solidFill>
              <a:latin typeface="Times New Roman"/>
              <a:cs typeface="Times New Roman"/>
            </a:rPr>
            <a:t>       • Sắp xếp thời khóa biểu trong các tuần học còn lại (tại trường).</a:t>
          </a:r>
        </a:p>
        <a:p>
          <a:pPr algn="l" rtl="1">
            <a:defRPr sz="1000"/>
          </a:pPr>
          <a:r>
            <a:rPr lang="vi-VN" sz="1200" b="0" i="0" strike="noStrike">
              <a:solidFill>
                <a:srgbClr val="000000"/>
              </a:solidFill>
              <a:latin typeface="Times New Roman"/>
              <a:cs typeface="Times New Roman"/>
            </a:rPr>
            <a:t>       • Sinh viên biết rõ để không được đăng kí học các môn chung vào các học kì mà ngành đào tạo tổ chức các hoạt động tập trung ngoài trường.</a:t>
          </a:r>
        </a:p>
        <a:p>
          <a:pPr algn="l" rtl="1">
            <a:defRPr sz="1000"/>
          </a:pPr>
          <a:r>
            <a:rPr lang="vi-VN" sz="1200" b="0" i="0" strike="noStrike">
              <a:solidFill>
                <a:srgbClr val="000000"/>
              </a:solidFill>
              <a:latin typeface="Times New Roman"/>
              <a:cs typeface="Times New Roman"/>
            </a:rPr>
            <a:t>       Vì đặc điểm nêu trên, đề nghị các khoa, các ngành đào tạo cân nhắc kỹ để xác định chính xác thời gian các hoạt động tập trung ngoài trường của sinh viên, tránh tình trạng phải thay đổi, điều chỉnh sau này.</a:t>
          </a:r>
        </a:p>
        <a:p>
          <a:pPr algn="l" rtl="1">
            <a:defRPr sz="1000"/>
          </a:pPr>
          <a:endParaRPr lang="vi-VN" sz="1200" b="0" i="0" strike="noStrike">
            <a:solidFill>
              <a:srgbClr val="000000"/>
            </a:solidFill>
            <a:latin typeface="Times New Roman"/>
            <a:cs typeface="Times New Roman"/>
          </a:endParaRPr>
        </a:p>
        <a:p>
          <a:pPr algn="l" rtl="1">
            <a:defRPr sz="1000"/>
          </a:pPr>
          <a:endParaRPr lang="vi-VN" sz="1200" b="0" i="0" strike="noStrike">
            <a:solidFill>
              <a:srgbClr val="000000"/>
            </a:solidFill>
            <a:latin typeface="Times New Roman"/>
            <a:cs typeface="Times New Roman"/>
          </a:endParaRPr>
        </a:p>
      </xdr:txBody>
    </xdr:sp>
    <xdr:clientData/>
  </xdr:twoCellAnchor>
  <xdr:twoCellAnchor>
    <xdr:from>
      <xdr:col>0</xdr:col>
      <xdr:colOff>458156</xdr:colOff>
      <xdr:row>5</xdr:row>
      <xdr:rowOff>18217</xdr:rowOff>
    </xdr:from>
    <xdr:to>
      <xdr:col>6</xdr:col>
      <xdr:colOff>743689</xdr:colOff>
      <xdr:row>6</xdr:row>
      <xdr:rowOff>6247</xdr:rowOff>
    </xdr:to>
    <xdr:sp macro="" textlink="">
      <xdr:nvSpPr>
        <xdr:cNvPr id="5" name="Text Box 6">
          <a:extLst>
            <a:ext uri="{FF2B5EF4-FFF2-40B4-BE49-F238E27FC236}">
              <a16:creationId xmlns:a16="http://schemas.microsoft.com/office/drawing/2014/main" id="{00000000-0008-0000-0C00-000005000000}"/>
            </a:ext>
          </a:extLst>
        </xdr:cNvPr>
        <xdr:cNvSpPr txBox="1">
          <a:spLocks noChangeArrowheads="1"/>
        </xdr:cNvSpPr>
      </xdr:nvSpPr>
      <xdr:spPr bwMode="auto">
        <a:xfrm>
          <a:off x="458156" y="1123117"/>
          <a:ext cx="7038758" cy="473805"/>
        </a:xfrm>
        <a:prstGeom prst="rect">
          <a:avLst/>
        </a:prstGeom>
        <a:solidFill>
          <a:srgbClr val="FFFFFF"/>
        </a:solidFill>
        <a:ln w="9525">
          <a:noFill/>
          <a:miter lim="800000"/>
          <a:headEnd/>
          <a:tailEnd/>
        </a:ln>
      </xdr:spPr>
      <xdr:txBody>
        <a:bodyPr vertOverflow="clip" wrap="square" lIns="36576" tIns="27432" rIns="36576" bIns="0" anchor="t" upright="1"/>
        <a:lstStyle/>
        <a:p>
          <a:pPr algn="ctr" rtl="1">
            <a:defRPr sz="1000"/>
          </a:pPr>
          <a:r>
            <a:rPr lang="vi-VN" sz="1300" b="1" i="0" strike="noStrike">
              <a:solidFill>
                <a:srgbClr val="000000"/>
              </a:solidFill>
              <a:latin typeface="Times New Roman"/>
              <a:cs typeface="Times New Roman"/>
            </a:rPr>
            <a:t>ĐĂNG KÍ THỜI GIAN CÁC HOẠT ĐỘNG TẬP TRUNG NGOÀI TRƯỜNG </a:t>
          </a:r>
          <a:endParaRPr lang="en-US" sz="1300" b="1" i="0" strike="noStrike">
            <a:solidFill>
              <a:srgbClr val="000000"/>
            </a:solidFill>
            <a:latin typeface="Times New Roman"/>
            <a:cs typeface="Times New Roman"/>
          </a:endParaRPr>
        </a:p>
        <a:p>
          <a:pPr algn="ctr" rtl="1">
            <a:defRPr sz="1000"/>
          </a:pPr>
          <a:r>
            <a:rPr lang="vi-VN" sz="1300" b="1" i="0" strike="noStrike">
              <a:solidFill>
                <a:srgbClr val="000000"/>
              </a:solidFill>
              <a:latin typeface="Times New Roman"/>
              <a:cs typeface="Times New Roman"/>
            </a:rPr>
            <a:t>CỦA SINH VIÊN HỆ CHÍNH QU</a:t>
          </a:r>
          <a:r>
            <a:rPr lang="en-US" sz="1300" b="1" i="0" strike="noStrike">
              <a:solidFill>
                <a:srgbClr val="000000"/>
              </a:solidFill>
              <a:latin typeface="Times New Roman"/>
              <a:cs typeface="Times New Roman"/>
            </a:rPr>
            <a:t>Y</a:t>
          </a:r>
          <a:r>
            <a:rPr lang="vi-VN" sz="1300" b="1" i="0" strike="noStrike">
              <a:solidFill>
                <a:srgbClr val="000000"/>
              </a:solidFill>
              <a:latin typeface="Times New Roman"/>
              <a:cs typeface="Times New Roman"/>
            </a:rPr>
            <a:t>, NĂM HỌC </a:t>
          </a:r>
          <a:r>
            <a:rPr lang="en-US" sz="1300" b="1" i="0" strike="noStrike">
              <a:solidFill>
                <a:srgbClr val="000000"/>
              </a:solidFill>
              <a:latin typeface="Times New Roman"/>
              <a:cs typeface="Times New Roman"/>
            </a:rPr>
            <a:t>2021</a:t>
          </a:r>
          <a:r>
            <a:rPr lang="en-US" sz="1300" b="1" i="0" strike="noStrike" baseline="0">
              <a:solidFill>
                <a:srgbClr val="000000"/>
              </a:solidFill>
              <a:latin typeface="Times New Roman"/>
              <a:cs typeface="Times New Roman"/>
            </a:rPr>
            <a:t> </a:t>
          </a:r>
          <a:r>
            <a:rPr lang="vi-VN" sz="1300" b="1" i="0" strike="noStrike">
              <a:solidFill>
                <a:srgbClr val="000000"/>
              </a:solidFill>
              <a:latin typeface="Times New Roman"/>
              <a:cs typeface="Times New Roman"/>
            </a:rPr>
            <a:t>- 20</a:t>
          </a:r>
          <a:r>
            <a:rPr lang="en-US" sz="1300" b="1" i="0" strike="noStrike">
              <a:solidFill>
                <a:srgbClr val="000000"/>
              </a:solidFill>
              <a:latin typeface="Times New Roman"/>
              <a:cs typeface="Times New Roman"/>
            </a:rPr>
            <a:t>22</a:t>
          </a:r>
        </a:p>
        <a:p>
          <a:pPr algn="ctr" rtl="1">
            <a:defRPr sz="1000"/>
          </a:pPr>
          <a:endParaRPr lang="vi-VN" sz="1300" b="1" i="0" strike="noStrike">
            <a:solidFill>
              <a:srgbClr val="000000"/>
            </a:solidFill>
            <a:latin typeface="Times New Roman"/>
            <a:cs typeface="Times New Roman"/>
          </a:endParaRPr>
        </a:p>
        <a:p>
          <a:pPr algn="ctr" rtl="1">
            <a:lnSpc>
              <a:spcPts val="1500"/>
            </a:lnSpc>
            <a:defRPr sz="1000"/>
          </a:pPr>
          <a:endParaRPr lang="vi-VN" sz="1300" b="1" i="0" strike="noStrike">
            <a:solidFill>
              <a:srgbClr val="000000"/>
            </a:solidFill>
            <a:latin typeface="Times New Roman"/>
            <a:cs typeface="Times New Roman"/>
          </a:endParaRPr>
        </a:p>
      </xdr:txBody>
    </xdr:sp>
    <xdr:clientData/>
  </xdr:twoCellAnchor>
  <xdr:twoCellAnchor>
    <xdr:from>
      <xdr:col>7</xdr:col>
      <xdr:colOff>295660</xdr:colOff>
      <xdr:row>1</xdr:row>
      <xdr:rowOff>79441</xdr:rowOff>
    </xdr:from>
    <xdr:to>
      <xdr:col>9</xdr:col>
      <xdr:colOff>301367</xdr:colOff>
      <xdr:row>2</xdr:row>
      <xdr:rowOff>179480</xdr:rowOff>
    </xdr:to>
    <xdr:sp macro="" textlink="">
      <xdr:nvSpPr>
        <xdr:cNvPr id="6" name="Rectangle 2">
          <a:extLst>
            <a:ext uri="{FF2B5EF4-FFF2-40B4-BE49-F238E27FC236}">
              <a16:creationId xmlns:a16="http://schemas.microsoft.com/office/drawing/2014/main" id="{00000000-0008-0000-0C00-000006000000}"/>
            </a:ext>
          </a:extLst>
        </xdr:cNvPr>
        <xdr:cNvSpPr>
          <a:spLocks noChangeArrowheads="1"/>
        </xdr:cNvSpPr>
      </xdr:nvSpPr>
      <xdr:spPr bwMode="auto">
        <a:xfrm>
          <a:off x="7839460" y="327091"/>
          <a:ext cx="891532" cy="290539"/>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Times New Roman"/>
              <a:cs typeface="Times New Roman"/>
            </a:rPr>
            <a:t>Mẫu 5M</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27</xdr:col>
      <xdr:colOff>703542</xdr:colOff>
      <xdr:row>2</xdr:row>
      <xdr:rowOff>152400</xdr:rowOff>
    </xdr:from>
    <xdr:to>
      <xdr:col>28</xdr:col>
      <xdr:colOff>911887</xdr:colOff>
      <xdr:row>3</xdr:row>
      <xdr:rowOff>124165</xdr:rowOff>
    </xdr:to>
    <xdr:sp macro="" textlink="">
      <xdr:nvSpPr>
        <xdr:cNvPr id="2" name="Rectangle 1">
          <a:extLst>
            <a:ext uri="{FF2B5EF4-FFF2-40B4-BE49-F238E27FC236}">
              <a16:creationId xmlns:a16="http://schemas.microsoft.com/office/drawing/2014/main" id="{00000000-0008-0000-0D00-000002000000}"/>
            </a:ext>
          </a:extLst>
        </xdr:cNvPr>
        <xdr:cNvSpPr>
          <a:spLocks noChangeArrowheads="1"/>
        </xdr:cNvSpPr>
      </xdr:nvSpPr>
      <xdr:spPr bwMode="auto">
        <a:xfrm>
          <a:off x="15597467" y="609600"/>
          <a:ext cx="924298" cy="247650"/>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200" b="1" i="0" strike="noStrike">
              <a:solidFill>
                <a:srgbClr val="000000"/>
              </a:solidFill>
              <a:latin typeface="VNI-Times"/>
            </a:rPr>
            <a:t>MẪU SỐ 4</a:t>
          </a:r>
        </a:p>
      </xdr:txBody>
    </xdr:sp>
    <xdr:clientData/>
  </xdr:twoCellAnchor>
  <xdr:twoCellAnchor>
    <xdr:from>
      <xdr:col>8</xdr:col>
      <xdr:colOff>342900</xdr:colOff>
      <xdr:row>2</xdr:row>
      <xdr:rowOff>28575</xdr:rowOff>
    </xdr:from>
    <xdr:to>
      <xdr:col>15</xdr:col>
      <xdr:colOff>47625</xdr:colOff>
      <xdr:row>2</xdr:row>
      <xdr:rowOff>28575</xdr:rowOff>
    </xdr:to>
    <xdr:sp macro="" textlink="">
      <xdr:nvSpPr>
        <xdr:cNvPr id="12194" name="Line 4">
          <a:extLst>
            <a:ext uri="{FF2B5EF4-FFF2-40B4-BE49-F238E27FC236}">
              <a16:creationId xmlns:a16="http://schemas.microsoft.com/office/drawing/2014/main" id="{00000000-0008-0000-0D00-0000A22F0000}"/>
            </a:ext>
          </a:extLst>
        </xdr:cNvPr>
        <xdr:cNvSpPr>
          <a:spLocks noChangeShapeType="1"/>
        </xdr:cNvSpPr>
      </xdr:nvSpPr>
      <xdr:spPr bwMode="auto">
        <a:xfrm>
          <a:off x="7115175" y="485775"/>
          <a:ext cx="1962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123825</xdr:colOff>
      <xdr:row>3</xdr:row>
      <xdr:rowOff>47625</xdr:rowOff>
    </xdr:from>
    <xdr:to>
      <xdr:col>2</xdr:col>
      <xdr:colOff>1504950</xdr:colOff>
      <xdr:row>3</xdr:row>
      <xdr:rowOff>47625</xdr:rowOff>
    </xdr:to>
    <xdr:sp macro="" textlink="">
      <xdr:nvSpPr>
        <xdr:cNvPr id="12195" name="Line 4">
          <a:extLst>
            <a:ext uri="{FF2B5EF4-FFF2-40B4-BE49-F238E27FC236}">
              <a16:creationId xmlns:a16="http://schemas.microsoft.com/office/drawing/2014/main" id="{00000000-0008-0000-0D00-0000A32F0000}"/>
            </a:ext>
          </a:extLst>
        </xdr:cNvPr>
        <xdr:cNvSpPr>
          <a:spLocks noChangeShapeType="1"/>
        </xdr:cNvSpPr>
      </xdr:nvSpPr>
      <xdr:spPr bwMode="auto">
        <a:xfrm>
          <a:off x="514350" y="781050"/>
          <a:ext cx="19431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100853</xdr:colOff>
      <xdr:row>3</xdr:row>
      <xdr:rowOff>180789</xdr:rowOff>
    </xdr:from>
    <xdr:to>
      <xdr:col>16</xdr:col>
      <xdr:colOff>519529</xdr:colOff>
      <xdr:row>5</xdr:row>
      <xdr:rowOff>23906</xdr:rowOff>
    </xdr:to>
    <xdr:sp macro="" textlink="">
      <xdr:nvSpPr>
        <xdr:cNvPr id="6" name="Rectangle 2">
          <a:extLst>
            <a:ext uri="{FF2B5EF4-FFF2-40B4-BE49-F238E27FC236}">
              <a16:creationId xmlns:a16="http://schemas.microsoft.com/office/drawing/2014/main" id="{00000000-0008-0000-0D00-000006000000}"/>
            </a:ext>
          </a:extLst>
        </xdr:cNvPr>
        <xdr:cNvSpPr>
          <a:spLocks noChangeArrowheads="1"/>
        </xdr:cNvSpPr>
      </xdr:nvSpPr>
      <xdr:spPr bwMode="auto">
        <a:xfrm>
          <a:off x="8852647" y="896471"/>
          <a:ext cx="979954" cy="280147"/>
        </a:xfrm>
        <a:prstGeom prst="rect">
          <a:avLst/>
        </a:prstGeom>
        <a:solidFill>
          <a:srgbClr val="FFFFFF"/>
        </a:solidFill>
        <a:ln w="9525">
          <a:solidFill>
            <a:srgbClr val="000000"/>
          </a:solidFill>
          <a:miter lim="800000"/>
          <a:headEnd/>
          <a:tailEnd/>
        </a:ln>
      </xdr:spPr>
      <xdr:txBody>
        <a:bodyPr vertOverflow="clip" wrap="square" lIns="27432" tIns="32004" rIns="27432" bIns="0" anchor="t" upright="1"/>
        <a:lstStyle/>
        <a:p>
          <a:pPr algn="ctr" rtl="1">
            <a:defRPr sz="1000"/>
          </a:pPr>
          <a:r>
            <a:rPr lang="en-US" sz="1300" b="1" i="0" strike="noStrike">
              <a:solidFill>
                <a:srgbClr val="000000"/>
              </a:solidFill>
              <a:latin typeface="Times New Roman"/>
              <a:cs typeface="Times New Roman"/>
            </a:rPr>
            <a:t>Mẫu 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J62"/>
  <sheetViews>
    <sheetView zoomScale="69" zoomScaleNormal="69" workbookViewId="0">
      <selection activeCell="N16" sqref="N16"/>
    </sheetView>
  </sheetViews>
  <sheetFormatPr defaultRowHeight="16.5" x14ac:dyDescent="0.25"/>
  <cols>
    <col min="1" max="1" width="4.875" style="55" customWidth="1"/>
    <col min="2" max="2" width="7.125" style="20" customWidth="1"/>
    <col min="3" max="3" width="21.5" style="333" customWidth="1"/>
    <col min="4" max="4" width="5.875" style="55" customWidth="1"/>
    <col min="5" max="5" width="15.375" style="55" customWidth="1"/>
    <col min="6" max="6" width="41.75" style="55" customWidth="1"/>
    <col min="7" max="7" width="9.5" style="309" customWidth="1"/>
    <col min="8" max="16384" width="9" style="55"/>
  </cols>
  <sheetData>
    <row r="1" spans="1:10" s="20" customFormat="1" ht="18" customHeight="1" x14ac:dyDescent="0.3">
      <c r="A1" s="380" t="s">
        <v>198</v>
      </c>
      <c r="B1" s="380"/>
      <c r="C1" s="380"/>
      <c r="D1" s="380"/>
      <c r="E1" s="380"/>
      <c r="F1" s="381"/>
      <c r="G1" s="381"/>
      <c r="H1" s="19"/>
    </row>
    <row r="2" spans="1:10" s="20" customFormat="1" ht="18" customHeight="1" x14ac:dyDescent="0.3">
      <c r="A2" s="381" t="s">
        <v>0</v>
      </c>
      <c r="B2" s="381"/>
      <c r="C2" s="381"/>
      <c r="D2" s="381"/>
      <c r="E2" s="381"/>
      <c r="F2" s="381"/>
      <c r="G2" s="381"/>
    </row>
    <row r="3" spans="1:10" x14ac:dyDescent="0.25">
      <c r="A3" s="379" t="s">
        <v>199</v>
      </c>
      <c r="B3" s="379"/>
      <c r="C3" s="379"/>
      <c r="D3" s="379"/>
      <c r="E3" s="379"/>
      <c r="F3" s="382"/>
      <c r="G3" s="382"/>
    </row>
    <row r="4" spans="1:10" x14ac:dyDescent="0.25">
      <c r="A4" s="379"/>
      <c r="B4" s="379"/>
      <c r="C4" s="379"/>
      <c r="D4" s="379"/>
      <c r="E4" s="379"/>
    </row>
    <row r="5" spans="1:10" ht="9.75" customHeight="1" x14ac:dyDescent="0.25">
      <c r="A5" s="379"/>
      <c r="B5" s="379"/>
      <c r="C5" s="379"/>
      <c r="D5" s="379"/>
      <c r="E5" s="311"/>
    </row>
    <row r="6" spans="1:10" ht="19.5" customHeight="1" x14ac:dyDescent="0.25">
      <c r="A6" s="379" t="s">
        <v>1</v>
      </c>
      <c r="B6" s="379"/>
      <c r="C6" s="379"/>
      <c r="D6" s="379"/>
      <c r="E6" s="379"/>
      <c r="F6" s="379"/>
      <c r="G6" s="379"/>
      <c r="H6" s="3"/>
    </row>
    <row r="7" spans="1:10" ht="19.5" customHeight="1" x14ac:dyDescent="0.25">
      <c r="A7" s="379" t="s">
        <v>315</v>
      </c>
      <c r="B7" s="379"/>
      <c r="C7" s="379"/>
      <c r="D7" s="379"/>
      <c r="E7" s="379"/>
      <c r="F7" s="379"/>
      <c r="G7" s="379"/>
      <c r="H7" s="3"/>
    </row>
    <row r="8" spans="1:10" ht="9" customHeight="1" x14ac:dyDescent="0.25">
      <c r="A8" s="311"/>
      <c r="B8" s="19"/>
      <c r="C8" s="104"/>
      <c r="D8" s="311"/>
      <c r="E8" s="311"/>
      <c r="F8" s="311"/>
      <c r="G8" s="310"/>
      <c r="H8" s="3"/>
    </row>
    <row r="9" spans="1:10" ht="99" x14ac:dyDescent="0.25">
      <c r="A9" s="313" t="s">
        <v>2</v>
      </c>
      <c r="B9" s="313" t="s">
        <v>68</v>
      </c>
      <c r="C9" s="314" t="s">
        <v>63</v>
      </c>
      <c r="D9" s="313" t="s">
        <v>4</v>
      </c>
      <c r="E9" s="313" t="s">
        <v>91</v>
      </c>
      <c r="F9" s="313" t="s">
        <v>200</v>
      </c>
      <c r="G9" s="313" t="s">
        <v>201</v>
      </c>
      <c r="H9" s="311"/>
      <c r="I9" s="315" t="s">
        <v>237</v>
      </c>
    </row>
    <row r="10" spans="1:10" ht="18" customHeight="1" x14ac:dyDescent="0.25">
      <c r="A10" s="316" t="s">
        <v>29</v>
      </c>
      <c r="B10" s="316" t="s">
        <v>30</v>
      </c>
      <c r="C10" s="317" t="s">
        <v>31</v>
      </c>
      <c r="D10" s="316" t="s">
        <v>32</v>
      </c>
      <c r="E10" s="316" t="s">
        <v>33</v>
      </c>
      <c r="F10" s="318" t="s">
        <v>41</v>
      </c>
      <c r="G10" s="316" t="s">
        <v>92</v>
      </c>
    </row>
    <row r="11" spans="1:10" x14ac:dyDescent="0.25">
      <c r="A11" s="319">
        <v>22</v>
      </c>
      <c r="B11" s="319">
        <v>10131</v>
      </c>
      <c r="C11" s="320" t="s">
        <v>216</v>
      </c>
      <c r="D11" s="319">
        <v>1975</v>
      </c>
      <c r="E11" s="314" t="s">
        <v>202</v>
      </c>
      <c r="F11" s="321"/>
      <c r="G11" s="334"/>
      <c r="H11" s="315" t="s">
        <v>346</v>
      </c>
      <c r="I11" s="330">
        <f t="shared" ref="I11:I47" si="0">B11</f>
        <v>10131</v>
      </c>
      <c r="J11" s="315"/>
    </row>
    <row r="12" spans="1:10" x14ac:dyDescent="0.25">
      <c r="A12" s="319">
        <v>17</v>
      </c>
      <c r="B12" s="319">
        <v>10986</v>
      </c>
      <c r="C12" s="320" t="s">
        <v>180</v>
      </c>
      <c r="D12" s="319">
        <v>1981</v>
      </c>
      <c r="E12" s="314" t="s">
        <v>206</v>
      </c>
      <c r="F12" s="321" t="s">
        <v>262</v>
      </c>
      <c r="G12" s="335">
        <v>53</v>
      </c>
      <c r="H12" s="315" t="s">
        <v>359</v>
      </c>
      <c r="I12" s="330">
        <f t="shared" si="0"/>
        <v>10986</v>
      </c>
      <c r="J12" s="315"/>
    </row>
    <row r="13" spans="1:10" x14ac:dyDescent="0.25">
      <c r="A13" s="319">
        <v>7</v>
      </c>
      <c r="B13" s="319">
        <v>10932</v>
      </c>
      <c r="C13" s="320" t="s">
        <v>146</v>
      </c>
      <c r="D13" s="319">
        <v>1989</v>
      </c>
      <c r="E13" s="314" t="s">
        <v>202</v>
      </c>
      <c r="F13" s="321" t="s">
        <v>339</v>
      </c>
      <c r="G13" s="335"/>
      <c r="H13" s="315" t="s">
        <v>346</v>
      </c>
      <c r="I13" s="330">
        <f t="shared" si="0"/>
        <v>10932</v>
      </c>
      <c r="J13" s="315"/>
    </row>
    <row r="14" spans="1:10" x14ac:dyDescent="0.25">
      <c r="A14" s="319">
        <v>31</v>
      </c>
      <c r="B14" s="319">
        <v>10936</v>
      </c>
      <c r="C14" s="320" t="s">
        <v>219</v>
      </c>
      <c r="D14" s="319">
        <v>1989</v>
      </c>
      <c r="E14" s="314" t="s">
        <v>204</v>
      </c>
      <c r="F14" s="321" t="s">
        <v>332</v>
      </c>
      <c r="G14" s="335">
        <f>53+53</f>
        <v>106</v>
      </c>
      <c r="H14" s="315" t="s">
        <v>360</v>
      </c>
      <c r="I14" s="330">
        <f t="shared" si="0"/>
        <v>10936</v>
      </c>
      <c r="J14" s="315"/>
    </row>
    <row r="15" spans="1:10" x14ac:dyDescent="0.25">
      <c r="A15" s="319">
        <v>29</v>
      </c>
      <c r="B15" s="319">
        <v>10510</v>
      </c>
      <c r="C15" s="322" t="s">
        <v>144</v>
      </c>
      <c r="D15" s="319">
        <v>1977</v>
      </c>
      <c r="E15" s="314" t="s">
        <v>206</v>
      </c>
      <c r="F15" s="321" t="s">
        <v>331</v>
      </c>
      <c r="G15" s="336">
        <f>53+35/2</f>
        <v>70.5</v>
      </c>
      <c r="H15" s="315" t="s">
        <v>359</v>
      </c>
      <c r="I15" s="330">
        <f t="shared" si="0"/>
        <v>10510</v>
      </c>
      <c r="J15" s="315"/>
    </row>
    <row r="16" spans="1:10" x14ac:dyDescent="0.25">
      <c r="A16" s="319">
        <v>23</v>
      </c>
      <c r="B16" s="319">
        <v>10898</v>
      </c>
      <c r="C16" s="322" t="s">
        <v>188</v>
      </c>
      <c r="D16" s="319">
        <v>1988</v>
      </c>
      <c r="E16" s="314" t="s">
        <v>202</v>
      </c>
      <c r="F16" s="322" t="s">
        <v>217</v>
      </c>
      <c r="G16" s="335">
        <v>53</v>
      </c>
      <c r="H16" s="315" t="s">
        <v>346</v>
      </c>
      <c r="I16" s="330">
        <f t="shared" si="0"/>
        <v>10898</v>
      </c>
      <c r="J16" s="315"/>
    </row>
    <row r="17" spans="1:10" ht="51" customHeight="1" x14ac:dyDescent="0.25">
      <c r="A17" s="319">
        <v>32</v>
      </c>
      <c r="B17" s="319">
        <v>10826</v>
      </c>
      <c r="C17" s="320" t="s">
        <v>191</v>
      </c>
      <c r="D17" s="319">
        <v>1987</v>
      </c>
      <c r="E17" s="314" t="s">
        <v>309</v>
      </c>
      <c r="F17" s="321" t="s">
        <v>314</v>
      </c>
      <c r="G17" s="335">
        <f>263+70/2+53+53/2</f>
        <v>377.5</v>
      </c>
      <c r="H17" s="315" t="s">
        <v>361</v>
      </c>
      <c r="I17" s="330">
        <f t="shared" si="0"/>
        <v>10826</v>
      </c>
      <c r="J17" s="315"/>
    </row>
    <row r="18" spans="1:10" x14ac:dyDescent="0.25">
      <c r="A18" s="319">
        <v>27</v>
      </c>
      <c r="B18" s="319">
        <v>11107</v>
      </c>
      <c r="C18" s="320" t="s">
        <v>177</v>
      </c>
      <c r="D18" s="319">
        <v>1981</v>
      </c>
      <c r="E18" s="314" t="s">
        <v>206</v>
      </c>
      <c r="F18" s="321" t="s">
        <v>330</v>
      </c>
      <c r="G18" s="335">
        <v>70</v>
      </c>
      <c r="H18" s="315" t="s">
        <v>359</v>
      </c>
      <c r="I18" s="330">
        <f t="shared" si="0"/>
        <v>11107</v>
      </c>
      <c r="J18" s="315"/>
    </row>
    <row r="19" spans="1:10" x14ac:dyDescent="0.25">
      <c r="A19" s="319">
        <v>21</v>
      </c>
      <c r="B19" s="319">
        <v>10903</v>
      </c>
      <c r="C19" s="320" t="s">
        <v>161</v>
      </c>
      <c r="D19" s="319">
        <v>1982</v>
      </c>
      <c r="E19" s="314" t="s">
        <v>206</v>
      </c>
      <c r="F19" s="321" t="s">
        <v>215</v>
      </c>
      <c r="G19" s="335">
        <v>53</v>
      </c>
      <c r="H19" s="315" t="s">
        <v>359</v>
      </c>
      <c r="I19" s="330">
        <f t="shared" si="0"/>
        <v>10903</v>
      </c>
      <c r="J19" s="315"/>
    </row>
    <row r="20" spans="1:10" x14ac:dyDescent="0.25">
      <c r="A20" s="319">
        <v>16</v>
      </c>
      <c r="B20" s="319">
        <v>10935</v>
      </c>
      <c r="C20" s="320" t="s">
        <v>212</v>
      </c>
      <c r="D20" s="319">
        <v>1989</v>
      </c>
      <c r="E20" s="314" t="s">
        <v>202</v>
      </c>
      <c r="F20" s="321" t="s">
        <v>333</v>
      </c>
      <c r="G20" s="335">
        <v>53</v>
      </c>
      <c r="H20" s="315" t="s">
        <v>346</v>
      </c>
      <c r="I20" s="330">
        <f t="shared" si="0"/>
        <v>10935</v>
      </c>
      <c r="J20" s="315"/>
    </row>
    <row r="21" spans="1:10" x14ac:dyDescent="0.25">
      <c r="A21" s="319">
        <v>4</v>
      </c>
      <c r="B21" s="319">
        <v>11204</v>
      </c>
      <c r="C21" s="323" t="s">
        <v>187</v>
      </c>
      <c r="D21" s="319">
        <v>1987</v>
      </c>
      <c r="E21" s="314" t="s">
        <v>206</v>
      </c>
      <c r="F21" s="321" t="s">
        <v>337</v>
      </c>
      <c r="G21" s="337"/>
      <c r="H21" s="315" t="s">
        <v>359</v>
      </c>
      <c r="I21" s="330">
        <f t="shared" si="0"/>
        <v>11204</v>
      </c>
      <c r="J21" s="315"/>
    </row>
    <row r="22" spans="1:10" x14ac:dyDescent="0.25">
      <c r="A22" s="319">
        <v>18</v>
      </c>
      <c r="B22" s="319">
        <v>10987</v>
      </c>
      <c r="C22" s="320" t="s">
        <v>145</v>
      </c>
      <c r="D22" s="319">
        <v>1966</v>
      </c>
      <c r="E22" s="314" t="s">
        <v>206</v>
      </c>
      <c r="F22" s="321" t="s">
        <v>213</v>
      </c>
      <c r="G22" s="335">
        <v>70</v>
      </c>
      <c r="H22" s="315" t="s">
        <v>359</v>
      </c>
      <c r="I22" s="330">
        <f t="shared" si="0"/>
        <v>10987</v>
      </c>
      <c r="J22" s="315"/>
    </row>
    <row r="23" spans="1:10" ht="36.75" customHeight="1" x14ac:dyDescent="0.25">
      <c r="A23" s="319">
        <v>2</v>
      </c>
      <c r="B23" s="319">
        <v>10134</v>
      </c>
      <c r="C23" s="324" t="s">
        <v>203</v>
      </c>
      <c r="D23" s="319">
        <v>1974</v>
      </c>
      <c r="E23" s="314" t="s">
        <v>206</v>
      </c>
      <c r="F23" s="322"/>
      <c r="G23" s="335"/>
      <c r="H23" s="315" t="s">
        <v>359</v>
      </c>
      <c r="I23" s="330">
        <f t="shared" si="0"/>
        <v>10134</v>
      </c>
      <c r="J23" s="315"/>
    </row>
    <row r="24" spans="1:10" x14ac:dyDescent="0.25">
      <c r="A24" s="319"/>
      <c r="B24" s="319"/>
      <c r="C24" s="324" t="s">
        <v>238</v>
      </c>
      <c r="D24" s="319"/>
      <c r="E24" s="314" t="s">
        <v>202</v>
      </c>
      <c r="F24" s="322"/>
      <c r="G24" s="335"/>
      <c r="H24" s="315" t="s">
        <v>346</v>
      </c>
      <c r="I24" s="330" t="s">
        <v>239</v>
      </c>
      <c r="J24" s="315"/>
    </row>
    <row r="25" spans="1:10" ht="33" x14ac:dyDescent="0.25">
      <c r="A25" s="319">
        <v>19</v>
      </c>
      <c r="B25" s="319">
        <v>11372</v>
      </c>
      <c r="C25" s="320" t="s">
        <v>176</v>
      </c>
      <c r="D25" s="319">
        <v>1961</v>
      </c>
      <c r="E25" s="314" t="s">
        <v>224</v>
      </c>
      <c r="F25" s="321"/>
      <c r="G25" s="335"/>
      <c r="H25" s="315" t="s">
        <v>363</v>
      </c>
      <c r="I25" s="330">
        <f t="shared" si="0"/>
        <v>11372</v>
      </c>
      <c r="J25" s="315"/>
    </row>
    <row r="26" spans="1:10" x14ac:dyDescent="0.25">
      <c r="A26" s="319">
        <v>35</v>
      </c>
      <c r="B26" s="319">
        <v>11313</v>
      </c>
      <c r="C26" s="320" t="s">
        <v>220</v>
      </c>
      <c r="D26" s="319">
        <v>1982</v>
      </c>
      <c r="E26" s="314" t="s">
        <v>221</v>
      </c>
      <c r="F26" s="321" t="s">
        <v>222</v>
      </c>
      <c r="G26" s="335">
        <v>53</v>
      </c>
      <c r="H26" s="315" t="s">
        <v>362</v>
      </c>
      <c r="I26" s="330">
        <f t="shared" si="0"/>
        <v>11313</v>
      </c>
      <c r="J26" s="315"/>
    </row>
    <row r="27" spans="1:10" x14ac:dyDescent="0.25">
      <c r="A27" s="319">
        <v>13</v>
      </c>
      <c r="B27" s="319">
        <v>10904</v>
      </c>
      <c r="C27" s="323" t="s">
        <v>190</v>
      </c>
      <c r="D27" s="319">
        <v>1981</v>
      </c>
      <c r="E27" s="314" t="s">
        <v>206</v>
      </c>
      <c r="F27" s="321" t="s">
        <v>263</v>
      </c>
      <c r="G27" s="335">
        <v>53</v>
      </c>
      <c r="H27" s="315" t="s">
        <v>359</v>
      </c>
      <c r="I27" s="330">
        <f t="shared" si="0"/>
        <v>10904</v>
      </c>
      <c r="J27" s="315"/>
    </row>
    <row r="28" spans="1:10" x14ac:dyDescent="0.25">
      <c r="A28" s="319">
        <v>12</v>
      </c>
      <c r="B28" s="319">
        <v>10144</v>
      </c>
      <c r="C28" s="323" t="s">
        <v>211</v>
      </c>
      <c r="D28" s="319">
        <v>1975</v>
      </c>
      <c r="E28" s="314" t="s">
        <v>202</v>
      </c>
      <c r="F28" s="321"/>
      <c r="G28" s="335"/>
      <c r="H28" s="315" t="s">
        <v>346</v>
      </c>
      <c r="I28" s="330">
        <f t="shared" si="0"/>
        <v>10144</v>
      </c>
      <c r="J28" s="315"/>
    </row>
    <row r="29" spans="1:10" x14ac:dyDescent="0.25">
      <c r="A29" s="319">
        <v>33</v>
      </c>
      <c r="B29" s="319">
        <v>10933</v>
      </c>
      <c r="C29" s="320" t="s">
        <v>193</v>
      </c>
      <c r="D29" s="319">
        <v>1980</v>
      </c>
      <c r="E29" s="314" t="s">
        <v>214</v>
      </c>
      <c r="F29" s="321" t="s">
        <v>244</v>
      </c>
      <c r="G29" s="335">
        <v>70</v>
      </c>
      <c r="H29" s="315" t="s">
        <v>359</v>
      </c>
      <c r="I29" s="330">
        <f t="shared" si="0"/>
        <v>10933</v>
      </c>
      <c r="J29" s="315"/>
    </row>
    <row r="30" spans="1:10" ht="33" x14ac:dyDescent="0.25">
      <c r="A30" s="319">
        <v>36</v>
      </c>
      <c r="B30" s="319">
        <v>10126</v>
      </c>
      <c r="C30" s="320" t="s">
        <v>223</v>
      </c>
      <c r="D30" s="319">
        <v>1966</v>
      </c>
      <c r="E30" s="314" t="s">
        <v>224</v>
      </c>
      <c r="F30" s="321" t="s">
        <v>313</v>
      </c>
      <c r="G30" s="338">
        <f>298+88+44</f>
        <v>430</v>
      </c>
      <c r="H30" s="315" t="s">
        <v>363</v>
      </c>
      <c r="I30" s="330">
        <f t="shared" si="0"/>
        <v>10126</v>
      </c>
      <c r="J30" s="315"/>
    </row>
    <row r="31" spans="1:10" x14ac:dyDescent="0.25">
      <c r="A31" s="319">
        <v>15</v>
      </c>
      <c r="B31" s="319">
        <v>11202</v>
      </c>
      <c r="C31" s="320" t="s">
        <v>148</v>
      </c>
      <c r="D31" s="319">
        <v>1977</v>
      </c>
      <c r="E31" s="314" t="s">
        <v>206</v>
      </c>
      <c r="F31" s="325"/>
      <c r="G31" s="337"/>
      <c r="H31" s="315" t="s">
        <v>359</v>
      </c>
      <c r="I31" s="330">
        <f t="shared" si="0"/>
        <v>11202</v>
      </c>
      <c r="J31" s="315"/>
    </row>
    <row r="32" spans="1:10" x14ac:dyDescent="0.25">
      <c r="A32" s="319">
        <v>28</v>
      </c>
      <c r="B32" s="319">
        <v>11051</v>
      </c>
      <c r="C32" s="320" t="s">
        <v>178</v>
      </c>
      <c r="D32" s="319">
        <v>1980</v>
      </c>
      <c r="E32" s="314" t="s">
        <v>206</v>
      </c>
      <c r="F32" s="321"/>
      <c r="G32" s="335"/>
      <c r="H32" s="315" t="s">
        <v>359</v>
      </c>
      <c r="I32" s="330">
        <f t="shared" si="0"/>
        <v>11051</v>
      </c>
      <c r="J32" s="315"/>
    </row>
    <row r="33" spans="1:10" x14ac:dyDescent="0.25">
      <c r="A33" s="319">
        <v>5</v>
      </c>
      <c r="B33" s="319">
        <v>10874</v>
      </c>
      <c r="C33" s="320" t="s">
        <v>179</v>
      </c>
      <c r="D33" s="319">
        <v>1978</v>
      </c>
      <c r="E33" s="314" t="s">
        <v>309</v>
      </c>
      <c r="F33" s="321" t="s">
        <v>328</v>
      </c>
      <c r="G33" s="335">
        <f>88+70/2</f>
        <v>123</v>
      </c>
      <c r="H33" s="315" t="s">
        <v>361</v>
      </c>
      <c r="I33" s="330">
        <f t="shared" si="0"/>
        <v>10874</v>
      </c>
      <c r="J33" s="315"/>
    </row>
    <row r="34" spans="1:10" x14ac:dyDescent="0.25">
      <c r="A34" s="319">
        <v>8</v>
      </c>
      <c r="B34" s="319">
        <v>10985</v>
      </c>
      <c r="C34" s="320" t="s">
        <v>155</v>
      </c>
      <c r="D34" s="319">
        <v>1984</v>
      </c>
      <c r="E34" s="314" t="s">
        <v>206</v>
      </c>
      <c r="F34" s="321" t="s">
        <v>208</v>
      </c>
      <c r="G34" s="335">
        <v>70</v>
      </c>
      <c r="H34" s="315" t="s">
        <v>359</v>
      </c>
      <c r="I34" s="330">
        <f t="shared" si="0"/>
        <v>10985</v>
      </c>
      <c r="J34" s="315"/>
    </row>
    <row r="35" spans="1:10" x14ac:dyDescent="0.25">
      <c r="A35" s="319">
        <v>9</v>
      </c>
      <c r="B35" s="319">
        <v>10873</v>
      </c>
      <c r="C35" s="322" t="s">
        <v>189</v>
      </c>
      <c r="D35" s="319">
        <v>1987</v>
      </c>
      <c r="E35" s="314" t="s">
        <v>204</v>
      </c>
      <c r="F35" s="321"/>
      <c r="G35" s="335"/>
      <c r="H35" s="315" t="s">
        <v>360</v>
      </c>
      <c r="I35" s="330">
        <f t="shared" si="0"/>
        <v>10873</v>
      </c>
      <c r="J35" s="315"/>
    </row>
    <row r="36" spans="1:10" x14ac:dyDescent="0.25">
      <c r="A36" s="319">
        <v>25</v>
      </c>
      <c r="B36" s="319">
        <v>11482</v>
      </c>
      <c r="C36" s="320" t="s">
        <v>311</v>
      </c>
      <c r="D36" s="319">
        <v>1994</v>
      </c>
      <c r="E36" s="314" t="s">
        <v>312</v>
      </c>
      <c r="F36" s="322"/>
      <c r="G36" s="335"/>
      <c r="H36" s="315" t="s">
        <v>346</v>
      </c>
      <c r="I36" s="330">
        <f t="shared" si="0"/>
        <v>11482</v>
      </c>
      <c r="J36" s="315"/>
    </row>
    <row r="37" spans="1:10" ht="33" x14ac:dyDescent="0.25">
      <c r="A37" s="319">
        <v>20</v>
      </c>
      <c r="B37" s="319">
        <v>11072</v>
      </c>
      <c r="C37" s="320" t="s">
        <v>183</v>
      </c>
      <c r="D37" s="319">
        <v>1957</v>
      </c>
      <c r="E37" s="314" t="s">
        <v>224</v>
      </c>
      <c r="F37" s="321"/>
      <c r="G37" s="335"/>
      <c r="H37" s="315" t="s">
        <v>363</v>
      </c>
      <c r="I37" s="330">
        <f t="shared" si="0"/>
        <v>11072</v>
      </c>
      <c r="J37" s="315"/>
    </row>
    <row r="38" spans="1:10" x14ac:dyDescent="0.25">
      <c r="A38" s="319">
        <v>6</v>
      </c>
      <c r="B38" s="319">
        <v>10902</v>
      </c>
      <c r="C38" s="320" t="s">
        <v>207</v>
      </c>
      <c r="D38" s="319">
        <v>1979</v>
      </c>
      <c r="E38" s="314" t="s">
        <v>206</v>
      </c>
      <c r="F38" s="326"/>
      <c r="G38" s="335"/>
      <c r="H38" s="315" t="s">
        <v>359</v>
      </c>
      <c r="I38" s="330">
        <f t="shared" si="0"/>
        <v>10902</v>
      </c>
      <c r="J38" s="315"/>
    </row>
    <row r="39" spans="1:10" ht="26.25" customHeight="1" x14ac:dyDescent="0.25">
      <c r="A39" s="319">
        <v>24</v>
      </c>
      <c r="B39" s="319">
        <v>11006</v>
      </c>
      <c r="C39" s="323" t="s">
        <v>186</v>
      </c>
      <c r="D39" s="319">
        <v>1986</v>
      </c>
      <c r="E39" s="314" t="s">
        <v>202</v>
      </c>
      <c r="F39" s="321"/>
      <c r="G39" s="339"/>
      <c r="H39" s="315" t="s">
        <v>346</v>
      </c>
      <c r="I39" s="330">
        <f t="shared" si="0"/>
        <v>11006</v>
      </c>
      <c r="J39" s="315"/>
    </row>
    <row r="40" spans="1:10" x14ac:dyDescent="0.25">
      <c r="A40" s="319">
        <v>10</v>
      </c>
      <c r="B40" s="319">
        <v>11053</v>
      </c>
      <c r="C40" s="320" t="s">
        <v>209</v>
      </c>
      <c r="D40" s="319">
        <v>1984</v>
      </c>
      <c r="E40" s="314" t="s">
        <v>202</v>
      </c>
      <c r="F40" s="321" t="s">
        <v>210</v>
      </c>
      <c r="G40" s="334">
        <v>53</v>
      </c>
      <c r="H40" s="315" t="s">
        <v>346</v>
      </c>
      <c r="I40" s="330">
        <f t="shared" si="0"/>
        <v>11053</v>
      </c>
      <c r="J40" s="315"/>
    </row>
    <row r="41" spans="1:10" x14ac:dyDescent="0.25">
      <c r="A41" s="319">
        <v>14</v>
      </c>
      <c r="B41" s="319">
        <v>10145</v>
      </c>
      <c r="C41" s="320" t="s">
        <v>147</v>
      </c>
      <c r="D41" s="319">
        <v>1968</v>
      </c>
      <c r="E41" s="314" t="s">
        <v>202</v>
      </c>
      <c r="F41" s="321"/>
      <c r="G41" s="335"/>
      <c r="H41" s="315" t="s">
        <v>346</v>
      </c>
      <c r="I41" s="330">
        <f t="shared" si="0"/>
        <v>10145</v>
      </c>
      <c r="J41" s="315"/>
    </row>
    <row r="42" spans="1:10" x14ac:dyDescent="0.25">
      <c r="A42" s="319">
        <v>3</v>
      </c>
      <c r="B42" s="319">
        <v>10135</v>
      </c>
      <c r="C42" s="320" t="s">
        <v>205</v>
      </c>
      <c r="D42" s="319">
        <v>1973</v>
      </c>
      <c r="E42" s="314" t="s">
        <v>206</v>
      </c>
      <c r="F42" s="321" t="s">
        <v>310</v>
      </c>
      <c r="G42" s="335">
        <f>53</f>
        <v>53</v>
      </c>
      <c r="H42" s="315" t="s">
        <v>359</v>
      </c>
      <c r="I42" s="330">
        <f t="shared" si="0"/>
        <v>10135</v>
      </c>
      <c r="J42" s="315"/>
    </row>
    <row r="43" spans="1:10" x14ac:dyDescent="0.25">
      <c r="A43" s="319">
        <v>26</v>
      </c>
      <c r="B43" s="319">
        <v>10149</v>
      </c>
      <c r="C43" s="320" t="s">
        <v>218</v>
      </c>
      <c r="D43" s="319">
        <v>1964</v>
      </c>
      <c r="E43" s="314" t="s">
        <v>202</v>
      </c>
      <c r="F43" s="321"/>
      <c r="G43" s="335"/>
      <c r="H43" s="315" t="s">
        <v>346</v>
      </c>
      <c r="I43" s="330">
        <f t="shared" si="0"/>
        <v>10149</v>
      </c>
      <c r="J43" s="315"/>
    </row>
    <row r="44" spans="1:10" x14ac:dyDescent="0.25">
      <c r="A44" s="319">
        <v>11</v>
      </c>
      <c r="B44" s="319">
        <v>10934</v>
      </c>
      <c r="C44" s="320" t="s">
        <v>192</v>
      </c>
      <c r="D44" s="319">
        <v>1987</v>
      </c>
      <c r="E44" s="314" t="s">
        <v>202</v>
      </c>
      <c r="F44" s="321" t="s">
        <v>264</v>
      </c>
      <c r="G44" s="335">
        <f>53</f>
        <v>53</v>
      </c>
      <c r="H44" s="315" t="s">
        <v>346</v>
      </c>
      <c r="I44" s="330">
        <f t="shared" si="0"/>
        <v>10934</v>
      </c>
      <c r="J44" s="315"/>
    </row>
    <row r="45" spans="1:10" ht="33" x14ac:dyDescent="0.25">
      <c r="A45" s="319">
        <v>1</v>
      </c>
      <c r="B45" s="319">
        <v>10154</v>
      </c>
      <c r="C45" s="323" t="s">
        <v>157</v>
      </c>
      <c r="D45" s="319">
        <v>1970</v>
      </c>
      <c r="E45" s="314" t="s">
        <v>202</v>
      </c>
      <c r="F45" s="321" t="s">
        <v>329</v>
      </c>
      <c r="G45" s="335">
        <f>53+53</f>
        <v>106</v>
      </c>
      <c r="H45" s="315" t="s">
        <v>346</v>
      </c>
      <c r="I45" s="330">
        <f t="shared" si="0"/>
        <v>10154</v>
      </c>
      <c r="J45" s="315"/>
    </row>
    <row r="46" spans="1:10" x14ac:dyDescent="0.25">
      <c r="A46" s="319">
        <v>30</v>
      </c>
      <c r="B46" s="319">
        <v>11381</v>
      </c>
      <c r="C46" s="322" t="s">
        <v>195</v>
      </c>
      <c r="D46" s="319">
        <v>1987</v>
      </c>
      <c r="E46" s="314" t="s">
        <v>309</v>
      </c>
      <c r="F46" s="321"/>
      <c r="G46" s="335"/>
      <c r="H46" s="315" t="s">
        <v>361</v>
      </c>
      <c r="I46" s="330">
        <f t="shared" si="0"/>
        <v>11381</v>
      </c>
      <c r="J46" s="315"/>
    </row>
    <row r="47" spans="1:10" x14ac:dyDescent="0.25">
      <c r="A47" s="319">
        <v>34</v>
      </c>
      <c r="B47" s="319">
        <v>11489</v>
      </c>
      <c r="C47" s="320" t="s">
        <v>241</v>
      </c>
      <c r="D47" s="319">
        <v>1976</v>
      </c>
      <c r="E47" s="314" t="s">
        <v>214</v>
      </c>
      <c r="F47" s="321"/>
      <c r="G47" s="335"/>
      <c r="H47" s="315" t="s">
        <v>359</v>
      </c>
      <c r="I47" s="330">
        <f t="shared" si="0"/>
        <v>11489</v>
      </c>
      <c r="J47" s="315"/>
    </row>
    <row r="48" spans="1:10" x14ac:dyDescent="0.25">
      <c r="A48" s="327"/>
      <c r="B48" s="328"/>
      <c r="C48" s="55"/>
      <c r="F48" s="329"/>
      <c r="G48" s="329"/>
    </row>
    <row r="49" spans="1:8" x14ac:dyDescent="0.25">
      <c r="A49" s="379" t="s">
        <v>26</v>
      </c>
      <c r="B49" s="379"/>
      <c r="C49" s="379"/>
      <c r="D49" s="379"/>
      <c r="E49" s="330"/>
      <c r="F49" s="331" t="s">
        <v>225</v>
      </c>
      <c r="G49" s="332"/>
    </row>
    <row r="50" spans="1:8" x14ac:dyDescent="0.25">
      <c r="A50" s="311"/>
      <c r="B50" s="19"/>
      <c r="C50" s="311"/>
      <c r="D50" s="311"/>
      <c r="E50" s="330"/>
      <c r="F50" s="331"/>
      <c r="G50" s="332"/>
    </row>
    <row r="51" spans="1:8" x14ac:dyDescent="0.25">
      <c r="A51" s="311"/>
      <c r="B51" s="19"/>
      <c r="C51" s="311"/>
      <c r="D51" s="311"/>
      <c r="E51" s="330"/>
      <c r="F51" s="331"/>
      <c r="G51" s="332"/>
    </row>
    <row r="52" spans="1:8" x14ac:dyDescent="0.25">
      <c r="A52" s="311"/>
      <c r="B52" s="19"/>
      <c r="C52" s="311"/>
      <c r="D52" s="311"/>
      <c r="E52" s="330"/>
      <c r="F52" s="331"/>
      <c r="G52" s="332"/>
    </row>
    <row r="53" spans="1:8" x14ac:dyDescent="0.25">
      <c r="A53" s="311"/>
      <c r="B53" s="19"/>
      <c r="C53" s="104"/>
      <c r="D53" s="311"/>
      <c r="E53" s="330"/>
      <c r="F53" s="311"/>
      <c r="G53" s="310"/>
    </row>
    <row r="54" spans="1:8" x14ac:dyDescent="0.25">
      <c r="A54" s="379"/>
      <c r="B54" s="379"/>
      <c r="C54" s="379"/>
      <c r="D54" s="379"/>
      <c r="E54" s="3"/>
      <c r="F54" s="311" t="s">
        <v>226</v>
      </c>
      <c r="G54" s="310"/>
      <c r="H54" s="3"/>
    </row>
    <row r="59" spans="1:8" x14ac:dyDescent="0.25">
      <c r="E59" s="11"/>
      <c r="F59" s="11"/>
      <c r="G59" s="310"/>
    </row>
    <row r="61" spans="1:8" x14ac:dyDescent="0.25">
      <c r="A61" s="3"/>
      <c r="B61" s="19"/>
      <c r="C61" s="106"/>
      <c r="D61" s="3"/>
      <c r="E61" s="3"/>
      <c r="F61" s="3"/>
      <c r="G61" s="310"/>
      <c r="H61" s="3"/>
    </row>
    <row r="62" spans="1:8" x14ac:dyDescent="0.25">
      <c r="A62" s="3"/>
      <c r="B62" s="19"/>
      <c r="C62" s="106"/>
      <c r="D62" s="3"/>
    </row>
  </sheetData>
  <sortState xmlns:xlrd2="http://schemas.microsoft.com/office/spreadsheetml/2017/richdata2" ref="A12:I47">
    <sortCondition ref="C12"/>
  </sortState>
  <mergeCells count="12">
    <mergeCell ref="A54:D54"/>
    <mergeCell ref="A1:E1"/>
    <mergeCell ref="F1:G1"/>
    <mergeCell ref="A2:E2"/>
    <mergeCell ref="F2:G2"/>
    <mergeCell ref="A3:E3"/>
    <mergeCell ref="F3:G3"/>
    <mergeCell ref="A4:E4"/>
    <mergeCell ref="A5:D5"/>
    <mergeCell ref="A6:G6"/>
    <mergeCell ref="A7:G7"/>
    <mergeCell ref="A49:D49"/>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DSGV_Button1_Click">
                <anchor moveWithCells="1" sizeWithCells="1">
                  <from>
                    <xdr:col>11</xdr:col>
                    <xdr:colOff>609600</xdr:colOff>
                    <xdr:row>8</xdr:row>
                    <xdr:rowOff>180975</xdr:rowOff>
                  </from>
                  <to>
                    <xdr:col>17</xdr:col>
                    <xdr:colOff>457200</xdr:colOff>
                    <xdr:row>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D6DD9-04CF-4094-8FEA-1583EDF308A8}">
  <sheetPr codeName="Sheet10"/>
  <dimension ref="A1:I49"/>
  <sheetViews>
    <sheetView workbookViewId="0">
      <selection activeCell="G49" sqref="G49"/>
    </sheetView>
  </sheetViews>
  <sheetFormatPr defaultRowHeight="17.25" x14ac:dyDescent="0.3"/>
  <cols>
    <col min="2" max="2" width="26.375" customWidth="1"/>
    <col min="4" max="4" width="14.25" customWidth="1"/>
    <col min="5" max="5" width="11.875" customWidth="1"/>
    <col min="6" max="6" width="26.5" customWidth="1"/>
    <col min="7" max="7" width="11.875" style="347" customWidth="1"/>
    <col min="8" max="8" width="9.625" customWidth="1"/>
    <col min="9" max="9" width="34" style="356" customWidth="1"/>
  </cols>
  <sheetData>
    <row r="1" spans="1:9" s="350" customFormat="1" ht="33" x14ac:dyDescent="0.3">
      <c r="A1" s="348" t="s">
        <v>68</v>
      </c>
      <c r="B1" s="349" t="s">
        <v>63</v>
      </c>
      <c r="C1" s="348" t="s">
        <v>4</v>
      </c>
      <c r="D1" s="348" t="s">
        <v>91</v>
      </c>
      <c r="E1" s="348" t="s">
        <v>91</v>
      </c>
      <c r="F1" s="395" t="s">
        <v>200</v>
      </c>
      <c r="G1" s="396"/>
      <c r="H1" s="348" t="s">
        <v>390</v>
      </c>
      <c r="I1" s="349" t="s">
        <v>17</v>
      </c>
    </row>
    <row r="2" spans="1:9" x14ac:dyDescent="0.3">
      <c r="A2" s="387">
        <v>10154</v>
      </c>
      <c r="B2" s="393" t="s">
        <v>157</v>
      </c>
      <c r="C2" s="387">
        <v>1970</v>
      </c>
      <c r="D2" s="391" t="s">
        <v>202</v>
      </c>
      <c r="E2" s="391" t="s">
        <v>346</v>
      </c>
      <c r="F2" s="341" t="s">
        <v>382</v>
      </c>
      <c r="G2" s="334" t="s">
        <v>392</v>
      </c>
      <c r="H2" s="385">
        <f>53+53</f>
        <v>106</v>
      </c>
      <c r="I2" s="383"/>
    </row>
    <row r="3" spans="1:9" x14ac:dyDescent="0.3">
      <c r="A3" s="388"/>
      <c r="B3" s="394"/>
      <c r="C3" s="388"/>
      <c r="D3" s="392"/>
      <c r="E3" s="392"/>
      <c r="F3" s="341" t="s">
        <v>364</v>
      </c>
      <c r="G3" s="334" t="s">
        <v>392</v>
      </c>
      <c r="H3" s="386"/>
      <c r="I3" s="384"/>
    </row>
    <row r="4" spans="1:9" x14ac:dyDescent="0.3">
      <c r="A4" s="335">
        <v>10134</v>
      </c>
      <c r="B4" s="344" t="s">
        <v>203</v>
      </c>
      <c r="C4" s="335">
        <v>1974</v>
      </c>
      <c r="D4" s="334" t="s">
        <v>206</v>
      </c>
      <c r="E4" s="334" t="s">
        <v>359</v>
      </c>
      <c r="F4" s="342"/>
      <c r="G4" s="335"/>
      <c r="H4" s="364">
        <v>0</v>
      </c>
      <c r="I4" s="355"/>
    </row>
    <row r="5" spans="1:9" x14ac:dyDescent="0.3">
      <c r="A5" s="335">
        <v>10135</v>
      </c>
      <c r="B5" s="340" t="s">
        <v>205</v>
      </c>
      <c r="C5" s="335">
        <v>1973</v>
      </c>
      <c r="D5" s="334" t="s">
        <v>206</v>
      </c>
      <c r="E5" s="334" t="s">
        <v>359</v>
      </c>
      <c r="F5" s="341" t="s">
        <v>383</v>
      </c>
      <c r="G5" s="334" t="s">
        <v>392</v>
      </c>
      <c r="H5" s="364">
        <f>53</f>
        <v>53</v>
      </c>
      <c r="I5" s="355"/>
    </row>
    <row r="6" spans="1:9" x14ac:dyDescent="0.3">
      <c r="A6" s="335">
        <v>11204</v>
      </c>
      <c r="B6" s="343" t="s">
        <v>187</v>
      </c>
      <c r="C6" s="335">
        <v>1987</v>
      </c>
      <c r="D6" s="334" t="s">
        <v>206</v>
      </c>
      <c r="E6" s="334" t="s">
        <v>359</v>
      </c>
      <c r="F6" s="341"/>
      <c r="G6" s="334"/>
      <c r="H6" s="365">
        <v>0</v>
      </c>
      <c r="I6" s="355" t="s">
        <v>337</v>
      </c>
    </row>
    <row r="7" spans="1:9" x14ac:dyDescent="0.3">
      <c r="A7" s="387">
        <v>10874</v>
      </c>
      <c r="B7" s="389" t="s">
        <v>179</v>
      </c>
      <c r="C7" s="387">
        <v>1978</v>
      </c>
      <c r="D7" s="391" t="s">
        <v>309</v>
      </c>
      <c r="E7" s="391" t="s">
        <v>361</v>
      </c>
      <c r="F7" s="341" t="s">
        <v>365</v>
      </c>
      <c r="G7" s="334" t="s">
        <v>393</v>
      </c>
      <c r="H7" s="385">
        <f>88+70/2</f>
        <v>123</v>
      </c>
      <c r="I7" s="383"/>
    </row>
    <row r="8" spans="1:9" x14ac:dyDescent="0.3">
      <c r="A8" s="388"/>
      <c r="B8" s="390"/>
      <c r="C8" s="388"/>
      <c r="D8" s="392"/>
      <c r="E8" s="392"/>
      <c r="F8" s="341" t="s">
        <v>366</v>
      </c>
      <c r="G8" s="334" t="s">
        <v>367</v>
      </c>
      <c r="H8" s="386"/>
      <c r="I8" s="384"/>
    </row>
    <row r="9" spans="1:9" x14ac:dyDescent="0.3">
      <c r="A9" s="335">
        <v>10902</v>
      </c>
      <c r="B9" s="340" t="s">
        <v>207</v>
      </c>
      <c r="C9" s="335">
        <v>1979</v>
      </c>
      <c r="D9" s="334" t="s">
        <v>206</v>
      </c>
      <c r="E9" s="334" t="s">
        <v>359</v>
      </c>
      <c r="F9" s="346"/>
      <c r="G9" s="338"/>
      <c r="H9" s="364">
        <v>0</v>
      </c>
      <c r="I9" s="355"/>
    </row>
    <row r="10" spans="1:9" x14ac:dyDescent="0.3">
      <c r="A10" s="335">
        <v>10932</v>
      </c>
      <c r="B10" s="340" t="s">
        <v>146</v>
      </c>
      <c r="C10" s="335">
        <v>1989</v>
      </c>
      <c r="D10" s="334" t="s">
        <v>202</v>
      </c>
      <c r="E10" s="334" t="s">
        <v>346</v>
      </c>
      <c r="F10" s="341"/>
      <c r="G10" s="334"/>
      <c r="H10" s="364">
        <v>0</v>
      </c>
      <c r="I10" s="355" t="s">
        <v>339</v>
      </c>
    </row>
    <row r="11" spans="1:9" x14ac:dyDescent="0.3">
      <c r="A11" s="335">
        <v>10985</v>
      </c>
      <c r="B11" s="340" t="s">
        <v>155</v>
      </c>
      <c r="C11" s="335">
        <v>1984</v>
      </c>
      <c r="D11" s="334" t="s">
        <v>206</v>
      </c>
      <c r="E11" s="334" t="s">
        <v>359</v>
      </c>
      <c r="F11" s="341" t="s">
        <v>208</v>
      </c>
      <c r="G11" s="334" t="s">
        <v>394</v>
      </c>
      <c r="H11" s="364">
        <v>70</v>
      </c>
      <c r="I11" s="355"/>
    </row>
    <row r="12" spans="1:9" x14ac:dyDescent="0.3">
      <c r="A12" s="335">
        <v>10873</v>
      </c>
      <c r="B12" s="342" t="s">
        <v>189</v>
      </c>
      <c r="C12" s="335">
        <v>1987</v>
      </c>
      <c r="D12" s="334" t="s">
        <v>204</v>
      </c>
      <c r="E12" s="334" t="s">
        <v>360</v>
      </c>
      <c r="F12" s="341"/>
      <c r="G12" s="334"/>
      <c r="H12" s="364">
        <v>0</v>
      </c>
      <c r="I12" s="355"/>
    </row>
    <row r="13" spans="1:9" x14ac:dyDescent="0.3">
      <c r="A13" s="335">
        <v>11053</v>
      </c>
      <c r="B13" s="340" t="s">
        <v>209</v>
      </c>
      <c r="C13" s="335">
        <v>1984</v>
      </c>
      <c r="D13" s="334" t="s">
        <v>202</v>
      </c>
      <c r="E13" s="334" t="s">
        <v>346</v>
      </c>
      <c r="F13" s="341" t="s">
        <v>368</v>
      </c>
      <c r="G13" s="334" t="s">
        <v>392</v>
      </c>
      <c r="H13" s="366">
        <v>53</v>
      </c>
      <c r="I13" s="355"/>
    </row>
    <row r="14" spans="1:9" x14ac:dyDescent="0.3">
      <c r="A14" s="335">
        <v>10934</v>
      </c>
      <c r="B14" s="340" t="s">
        <v>192</v>
      </c>
      <c r="C14" s="335">
        <v>1987</v>
      </c>
      <c r="D14" s="334" t="s">
        <v>202</v>
      </c>
      <c r="E14" s="334" t="s">
        <v>346</v>
      </c>
      <c r="F14" s="341" t="s">
        <v>264</v>
      </c>
      <c r="G14" s="334" t="s">
        <v>392</v>
      </c>
      <c r="H14" s="364">
        <f>53</f>
        <v>53</v>
      </c>
      <c r="I14" s="355"/>
    </row>
    <row r="15" spans="1:9" x14ac:dyDescent="0.3">
      <c r="A15" s="335">
        <v>10144</v>
      </c>
      <c r="B15" s="343" t="s">
        <v>211</v>
      </c>
      <c r="C15" s="335">
        <v>1975</v>
      </c>
      <c r="D15" s="334" t="s">
        <v>202</v>
      </c>
      <c r="E15" s="334" t="s">
        <v>346</v>
      </c>
      <c r="F15" s="341"/>
      <c r="G15" s="334"/>
      <c r="H15" s="364">
        <v>0</v>
      </c>
      <c r="I15" s="355"/>
    </row>
    <row r="16" spans="1:9" x14ac:dyDescent="0.3">
      <c r="A16" s="335">
        <v>10904</v>
      </c>
      <c r="B16" s="343" t="s">
        <v>190</v>
      </c>
      <c r="C16" s="335">
        <v>1981</v>
      </c>
      <c r="D16" s="334" t="s">
        <v>206</v>
      </c>
      <c r="E16" s="334" t="s">
        <v>359</v>
      </c>
      <c r="F16" s="341" t="s">
        <v>369</v>
      </c>
      <c r="G16" s="334" t="s">
        <v>392</v>
      </c>
      <c r="H16" s="364">
        <v>53</v>
      </c>
      <c r="I16" s="355"/>
    </row>
    <row r="17" spans="1:9" x14ac:dyDescent="0.3">
      <c r="A17" s="335">
        <v>10145</v>
      </c>
      <c r="B17" s="340" t="s">
        <v>147</v>
      </c>
      <c r="C17" s="335">
        <v>1968</v>
      </c>
      <c r="D17" s="334" t="s">
        <v>202</v>
      </c>
      <c r="E17" s="334" t="s">
        <v>346</v>
      </c>
      <c r="F17" s="341"/>
      <c r="G17" s="334"/>
      <c r="H17" s="364">
        <v>0</v>
      </c>
      <c r="I17" s="355"/>
    </row>
    <row r="18" spans="1:9" x14ac:dyDescent="0.3">
      <c r="A18" s="335">
        <v>11202</v>
      </c>
      <c r="B18" s="340" t="s">
        <v>148</v>
      </c>
      <c r="C18" s="335">
        <v>1977</v>
      </c>
      <c r="D18" s="334" t="s">
        <v>206</v>
      </c>
      <c r="E18" s="334" t="s">
        <v>359</v>
      </c>
      <c r="F18" s="345"/>
      <c r="G18" s="337"/>
      <c r="H18" s="365">
        <v>0</v>
      </c>
      <c r="I18" s="355"/>
    </row>
    <row r="19" spans="1:9" x14ac:dyDescent="0.3">
      <c r="A19" s="335">
        <v>10935</v>
      </c>
      <c r="B19" s="340" t="s">
        <v>212</v>
      </c>
      <c r="C19" s="335">
        <v>1989</v>
      </c>
      <c r="D19" s="334" t="s">
        <v>202</v>
      </c>
      <c r="E19" s="334" t="s">
        <v>346</v>
      </c>
      <c r="F19" s="341" t="s">
        <v>333</v>
      </c>
      <c r="G19" s="334" t="s">
        <v>392</v>
      </c>
      <c r="H19" s="364">
        <v>53</v>
      </c>
      <c r="I19" s="355"/>
    </row>
    <row r="20" spans="1:9" x14ac:dyDescent="0.3">
      <c r="A20" s="335">
        <v>10986</v>
      </c>
      <c r="B20" s="340" t="s">
        <v>180</v>
      </c>
      <c r="C20" s="335">
        <v>1981</v>
      </c>
      <c r="D20" s="334" t="s">
        <v>206</v>
      </c>
      <c r="E20" s="334" t="s">
        <v>359</v>
      </c>
      <c r="F20" s="341" t="s">
        <v>262</v>
      </c>
      <c r="G20" s="334" t="s">
        <v>392</v>
      </c>
      <c r="H20" s="364">
        <v>53</v>
      </c>
      <c r="I20" s="355"/>
    </row>
    <row r="21" spans="1:9" x14ac:dyDescent="0.3">
      <c r="A21" s="335">
        <v>10987</v>
      </c>
      <c r="B21" s="340" t="s">
        <v>145</v>
      </c>
      <c r="C21" s="335">
        <v>1966</v>
      </c>
      <c r="D21" s="334" t="s">
        <v>206</v>
      </c>
      <c r="E21" s="334" t="s">
        <v>359</v>
      </c>
      <c r="F21" s="341" t="s">
        <v>384</v>
      </c>
      <c r="G21" s="334" t="s">
        <v>394</v>
      </c>
      <c r="H21" s="364">
        <v>70</v>
      </c>
      <c r="I21" s="355"/>
    </row>
    <row r="22" spans="1:9" ht="33" x14ac:dyDescent="0.3">
      <c r="A22" s="335">
        <v>11372</v>
      </c>
      <c r="B22" s="340" t="s">
        <v>176</v>
      </c>
      <c r="C22" s="335">
        <v>1961</v>
      </c>
      <c r="D22" s="334" t="s">
        <v>224</v>
      </c>
      <c r="E22" s="334" t="s">
        <v>363</v>
      </c>
      <c r="F22" s="341"/>
      <c r="G22" s="334"/>
      <c r="H22" s="364">
        <v>0</v>
      </c>
      <c r="I22" s="355"/>
    </row>
    <row r="23" spans="1:9" ht="33" x14ac:dyDescent="0.3">
      <c r="A23" s="335">
        <v>11072</v>
      </c>
      <c r="B23" s="340" t="s">
        <v>183</v>
      </c>
      <c r="C23" s="335">
        <v>1957</v>
      </c>
      <c r="D23" s="334" t="s">
        <v>224</v>
      </c>
      <c r="E23" s="334" t="s">
        <v>363</v>
      </c>
      <c r="F23" s="341"/>
      <c r="G23" s="334"/>
      <c r="H23" s="364">
        <v>0</v>
      </c>
      <c r="I23" s="355"/>
    </row>
    <row r="24" spans="1:9" x14ac:dyDescent="0.3">
      <c r="A24" s="335">
        <v>10903</v>
      </c>
      <c r="B24" s="340" t="s">
        <v>161</v>
      </c>
      <c r="C24" s="335">
        <v>1982</v>
      </c>
      <c r="D24" s="334" t="s">
        <v>206</v>
      </c>
      <c r="E24" s="334" t="s">
        <v>359</v>
      </c>
      <c r="F24" s="341" t="s">
        <v>215</v>
      </c>
      <c r="G24" s="334" t="s">
        <v>392</v>
      </c>
      <c r="H24" s="364">
        <v>53</v>
      </c>
      <c r="I24" s="355"/>
    </row>
    <row r="25" spans="1:9" x14ac:dyDescent="0.3">
      <c r="A25" s="335">
        <v>10131</v>
      </c>
      <c r="B25" s="340" t="s">
        <v>216</v>
      </c>
      <c r="C25" s="335">
        <v>1975</v>
      </c>
      <c r="D25" s="334" t="s">
        <v>202</v>
      </c>
      <c r="E25" s="334" t="s">
        <v>346</v>
      </c>
      <c r="F25" s="341"/>
      <c r="G25" s="334"/>
      <c r="H25" s="366">
        <v>0</v>
      </c>
      <c r="I25" s="355"/>
    </row>
    <row r="26" spans="1:9" x14ac:dyDescent="0.3">
      <c r="A26" s="335">
        <v>10898</v>
      </c>
      <c r="B26" s="342" t="s">
        <v>188</v>
      </c>
      <c r="C26" s="335">
        <v>1988</v>
      </c>
      <c r="D26" s="334" t="s">
        <v>202</v>
      </c>
      <c r="E26" s="334" t="s">
        <v>346</v>
      </c>
      <c r="F26" s="342" t="s">
        <v>370</v>
      </c>
      <c r="G26" s="335" t="s">
        <v>392</v>
      </c>
      <c r="H26" s="364">
        <v>53</v>
      </c>
      <c r="I26" s="355"/>
    </row>
    <row r="27" spans="1:9" x14ac:dyDescent="0.3">
      <c r="A27" s="335">
        <v>11006</v>
      </c>
      <c r="B27" s="343" t="s">
        <v>186</v>
      </c>
      <c r="C27" s="335">
        <v>1986</v>
      </c>
      <c r="D27" s="334" t="s">
        <v>202</v>
      </c>
      <c r="E27" s="334" t="s">
        <v>346</v>
      </c>
      <c r="F27" s="341"/>
      <c r="G27" s="334"/>
      <c r="H27" s="367">
        <v>0</v>
      </c>
      <c r="I27" s="355"/>
    </row>
    <row r="28" spans="1:9" x14ac:dyDescent="0.3">
      <c r="A28" s="335">
        <v>11482</v>
      </c>
      <c r="B28" s="340" t="s">
        <v>311</v>
      </c>
      <c r="C28" s="335">
        <v>1994</v>
      </c>
      <c r="D28" s="334" t="s">
        <v>312</v>
      </c>
      <c r="E28" s="334" t="s">
        <v>346</v>
      </c>
      <c r="F28" s="342"/>
      <c r="G28" s="335"/>
      <c r="H28" s="364">
        <v>0</v>
      </c>
      <c r="I28" s="355"/>
    </row>
    <row r="29" spans="1:9" x14ac:dyDescent="0.3">
      <c r="A29" s="335">
        <v>10149</v>
      </c>
      <c r="B29" s="340" t="s">
        <v>218</v>
      </c>
      <c r="C29" s="335">
        <v>1964</v>
      </c>
      <c r="D29" s="334" t="s">
        <v>202</v>
      </c>
      <c r="E29" s="334" t="s">
        <v>346</v>
      </c>
      <c r="F29" s="341"/>
      <c r="G29" s="334"/>
      <c r="H29" s="364">
        <v>0</v>
      </c>
      <c r="I29" s="355"/>
    </row>
    <row r="30" spans="1:9" x14ac:dyDescent="0.3">
      <c r="A30" s="335">
        <v>11107</v>
      </c>
      <c r="B30" s="340" t="s">
        <v>177</v>
      </c>
      <c r="C30" s="335">
        <v>1981</v>
      </c>
      <c r="D30" s="334" t="s">
        <v>206</v>
      </c>
      <c r="E30" s="334" t="s">
        <v>359</v>
      </c>
      <c r="F30" s="341" t="s">
        <v>330</v>
      </c>
      <c r="G30" s="334" t="s">
        <v>394</v>
      </c>
      <c r="H30" s="364">
        <v>70</v>
      </c>
      <c r="I30" s="355"/>
    </row>
    <row r="31" spans="1:9" x14ac:dyDescent="0.3">
      <c r="A31" s="335">
        <v>11051</v>
      </c>
      <c r="B31" s="340" t="s">
        <v>178</v>
      </c>
      <c r="C31" s="335">
        <v>1980</v>
      </c>
      <c r="D31" s="334" t="s">
        <v>206</v>
      </c>
      <c r="E31" s="334" t="s">
        <v>359</v>
      </c>
      <c r="F31" s="341"/>
      <c r="G31" s="334"/>
      <c r="H31" s="364">
        <v>0</v>
      </c>
      <c r="I31" s="355"/>
    </row>
    <row r="32" spans="1:9" x14ac:dyDescent="0.3">
      <c r="A32" s="387">
        <v>10510</v>
      </c>
      <c r="B32" s="397" t="s">
        <v>144</v>
      </c>
      <c r="C32" s="387">
        <v>1977</v>
      </c>
      <c r="D32" s="391" t="s">
        <v>206</v>
      </c>
      <c r="E32" s="391" t="s">
        <v>359</v>
      </c>
      <c r="F32" s="341" t="s">
        <v>372</v>
      </c>
      <c r="G32" s="334" t="s">
        <v>392</v>
      </c>
      <c r="H32" s="399">
        <f>53+35/2</f>
        <v>70.5</v>
      </c>
      <c r="I32" s="383"/>
    </row>
    <row r="33" spans="1:9" x14ac:dyDescent="0.3">
      <c r="A33" s="388"/>
      <c r="B33" s="398"/>
      <c r="C33" s="388"/>
      <c r="D33" s="392"/>
      <c r="E33" s="392"/>
      <c r="F33" s="341" t="s">
        <v>373</v>
      </c>
      <c r="G33" s="334" t="s">
        <v>371</v>
      </c>
      <c r="H33" s="400"/>
      <c r="I33" s="384"/>
    </row>
    <row r="34" spans="1:9" x14ac:dyDescent="0.3">
      <c r="A34" s="335">
        <v>11381</v>
      </c>
      <c r="B34" s="342" t="s">
        <v>195</v>
      </c>
      <c r="C34" s="335">
        <v>1987</v>
      </c>
      <c r="D34" s="334" t="s">
        <v>309</v>
      </c>
      <c r="E34" s="334" t="s">
        <v>361</v>
      </c>
      <c r="F34" s="341"/>
      <c r="G34" s="334"/>
      <c r="H34" s="364">
        <v>0</v>
      </c>
      <c r="I34" s="355"/>
    </row>
    <row r="35" spans="1:9" x14ac:dyDescent="0.3">
      <c r="A35" s="387">
        <v>10936</v>
      </c>
      <c r="B35" s="389" t="s">
        <v>219</v>
      </c>
      <c r="C35" s="387">
        <v>1989</v>
      </c>
      <c r="D35" s="391" t="s">
        <v>204</v>
      </c>
      <c r="E35" s="391" t="s">
        <v>360</v>
      </c>
      <c r="F35" s="341" t="s">
        <v>374</v>
      </c>
      <c r="G35" s="334" t="s">
        <v>392</v>
      </c>
      <c r="H35" s="385">
        <f>53+53</f>
        <v>106</v>
      </c>
      <c r="I35" s="383"/>
    </row>
    <row r="36" spans="1:9" x14ac:dyDescent="0.3">
      <c r="A36" s="388"/>
      <c r="B36" s="390"/>
      <c r="C36" s="388"/>
      <c r="D36" s="392"/>
      <c r="E36" s="392"/>
      <c r="F36" s="341" t="s">
        <v>364</v>
      </c>
      <c r="G36" s="334" t="s">
        <v>392</v>
      </c>
      <c r="H36" s="386"/>
      <c r="I36" s="384"/>
    </row>
    <row r="37" spans="1:9" x14ac:dyDescent="0.3">
      <c r="A37" s="387">
        <v>10826</v>
      </c>
      <c r="B37" s="389" t="s">
        <v>191</v>
      </c>
      <c r="C37" s="387">
        <v>1987</v>
      </c>
      <c r="D37" s="391" t="s">
        <v>309</v>
      </c>
      <c r="E37" s="391" t="s">
        <v>361</v>
      </c>
      <c r="F37" s="341" t="s">
        <v>376</v>
      </c>
      <c r="G37" s="334" t="s">
        <v>395</v>
      </c>
      <c r="H37" s="385">
        <f>263+70/2+53+53/2</f>
        <v>377.5</v>
      </c>
      <c r="I37" s="383"/>
    </row>
    <row r="38" spans="1:9" x14ac:dyDescent="0.3">
      <c r="A38" s="403"/>
      <c r="B38" s="404"/>
      <c r="C38" s="403"/>
      <c r="D38" s="405"/>
      <c r="E38" s="405"/>
      <c r="F38" s="341" t="s">
        <v>375</v>
      </c>
      <c r="G38" s="334" t="s">
        <v>367</v>
      </c>
      <c r="H38" s="401"/>
      <c r="I38" s="402"/>
    </row>
    <row r="39" spans="1:9" x14ac:dyDescent="0.3">
      <c r="A39" s="403"/>
      <c r="B39" s="404"/>
      <c r="C39" s="403"/>
      <c r="D39" s="405"/>
      <c r="E39" s="405"/>
      <c r="F39" s="341" t="s">
        <v>377</v>
      </c>
      <c r="G39" s="334" t="s">
        <v>378</v>
      </c>
      <c r="H39" s="401"/>
      <c r="I39" s="402"/>
    </row>
    <row r="40" spans="1:9" x14ac:dyDescent="0.3">
      <c r="A40" s="403"/>
      <c r="B40" s="404"/>
      <c r="C40" s="403"/>
      <c r="D40" s="405"/>
      <c r="E40" s="405"/>
      <c r="F40" s="341" t="s">
        <v>379</v>
      </c>
      <c r="G40" s="334" t="s">
        <v>392</v>
      </c>
      <c r="H40" s="401"/>
      <c r="I40" s="402"/>
    </row>
    <row r="41" spans="1:9" x14ac:dyDescent="0.3">
      <c r="A41" s="388"/>
      <c r="B41" s="390"/>
      <c r="C41" s="388"/>
      <c r="D41" s="392"/>
      <c r="E41" s="392"/>
      <c r="F41" s="341" t="s">
        <v>381</v>
      </c>
      <c r="G41" s="334" t="s">
        <v>380</v>
      </c>
      <c r="H41" s="386"/>
      <c r="I41" s="384"/>
    </row>
    <row r="42" spans="1:9" x14ac:dyDescent="0.3">
      <c r="A42" s="387">
        <v>10933</v>
      </c>
      <c r="B42" s="389" t="s">
        <v>193</v>
      </c>
      <c r="C42" s="387">
        <v>1980</v>
      </c>
      <c r="D42" s="391" t="s">
        <v>214</v>
      </c>
      <c r="E42" s="391" t="s">
        <v>359</v>
      </c>
      <c r="F42" s="341" t="s">
        <v>375</v>
      </c>
      <c r="G42" s="334" t="s">
        <v>394</v>
      </c>
      <c r="H42" s="385">
        <v>70</v>
      </c>
      <c r="I42" s="383"/>
    </row>
    <row r="43" spans="1:9" x14ac:dyDescent="0.3">
      <c r="A43" s="388"/>
      <c r="B43" s="390"/>
      <c r="C43" s="388"/>
      <c r="D43" s="392"/>
      <c r="E43" s="392"/>
      <c r="F43" s="341" t="s">
        <v>385</v>
      </c>
      <c r="G43" s="334">
        <v>0</v>
      </c>
      <c r="H43" s="386"/>
      <c r="I43" s="384"/>
    </row>
    <row r="44" spans="1:9" x14ac:dyDescent="0.3">
      <c r="A44" s="335">
        <v>11489</v>
      </c>
      <c r="B44" s="340" t="s">
        <v>241</v>
      </c>
      <c r="C44" s="335">
        <v>1976</v>
      </c>
      <c r="D44" s="334" t="s">
        <v>214</v>
      </c>
      <c r="E44" s="334" t="s">
        <v>359</v>
      </c>
      <c r="F44" s="341"/>
      <c r="G44" s="334"/>
      <c r="H44" s="364">
        <v>0</v>
      </c>
      <c r="I44" s="355"/>
    </row>
    <row r="45" spans="1:9" x14ac:dyDescent="0.3">
      <c r="A45" s="335">
        <v>11313</v>
      </c>
      <c r="B45" s="340" t="s">
        <v>220</v>
      </c>
      <c r="C45" s="335">
        <v>1982</v>
      </c>
      <c r="D45" s="334" t="s">
        <v>221</v>
      </c>
      <c r="E45" s="334" t="s">
        <v>362</v>
      </c>
      <c r="F45" s="341" t="s">
        <v>222</v>
      </c>
      <c r="G45" s="334" t="s">
        <v>392</v>
      </c>
      <c r="H45" s="364">
        <v>53</v>
      </c>
      <c r="I45" s="355"/>
    </row>
    <row r="46" spans="1:9" x14ac:dyDescent="0.3">
      <c r="A46" s="387">
        <v>10126</v>
      </c>
      <c r="B46" s="389" t="s">
        <v>223</v>
      </c>
      <c r="C46" s="387">
        <v>1966</v>
      </c>
      <c r="D46" s="391" t="s">
        <v>224</v>
      </c>
      <c r="E46" s="391" t="s">
        <v>363</v>
      </c>
      <c r="F46" s="341" t="s">
        <v>389</v>
      </c>
      <c r="G46" s="334" t="s">
        <v>396</v>
      </c>
      <c r="H46" s="406">
        <f>298+88+44</f>
        <v>430</v>
      </c>
      <c r="I46" s="383"/>
    </row>
    <row r="47" spans="1:9" x14ac:dyDescent="0.3">
      <c r="A47" s="403"/>
      <c r="B47" s="404"/>
      <c r="C47" s="403"/>
      <c r="D47" s="405"/>
      <c r="E47" s="405"/>
      <c r="F47" s="341" t="s">
        <v>388</v>
      </c>
      <c r="G47" s="334" t="s">
        <v>393</v>
      </c>
      <c r="H47" s="407"/>
      <c r="I47" s="402"/>
    </row>
    <row r="48" spans="1:9" x14ac:dyDescent="0.3">
      <c r="A48" s="388"/>
      <c r="B48" s="390"/>
      <c r="C48" s="388"/>
      <c r="D48" s="392"/>
      <c r="E48" s="392"/>
      <c r="F48" s="341" t="s">
        <v>387</v>
      </c>
      <c r="G48" s="334" t="s">
        <v>386</v>
      </c>
      <c r="H48" s="408"/>
      <c r="I48" s="384"/>
    </row>
    <row r="49" spans="1:9" x14ac:dyDescent="0.3">
      <c r="A49" s="335" t="s">
        <v>239</v>
      </c>
      <c r="B49" s="344" t="s">
        <v>238</v>
      </c>
      <c r="C49" s="335"/>
      <c r="D49" s="334" t="s">
        <v>202</v>
      </c>
      <c r="E49" s="334" t="s">
        <v>346</v>
      </c>
      <c r="F49" s="342"/>
      <c r="G49" s="335"/>
      <c r="H49" s="364">
        <v>0</v>
      </c>
      <c r="I49" s="355"/>
    </row>
  </sheetData>
  <mergeCells count="50">
    <mergeCell ref="H46:H48"/>
    <mergeCell ref="I46:I48"/>
    <mergeCell ref="A46:A48"/>
    <mergeCell ref="B46:B48"/>
    <mergeCell ref="C46:C48"/>
    <mergeCell ref="D46:D48"/>
    <mergeCell ref="E46:E48"/>
    <mergeCell ref="H37:H41"/>
    <mergeCell ref="I37:I41"/>
    <mergeCell ref="A42:A43"/>
    <mergeCell ref="B42:B43"/>
    <mergeCell ref="C42:C43"/>
    <mergeCell ref="D42:D43"/>
    <mergeCell ref="E42:E43"/>
    <mergeCell ref="H42:H43"/>
    <mergeCell ref="I42:I43"/>
    <mergeCell ref="A37:A41"/>
    <mergeCell ref="B37:B41"/>
    <mergeCell ref="C37:C41"/>
    <mergeCell ref="D37:D41"/>
    <mergeCell ref="E37:E41"/>
    <mergeCell ref="H32:H33"/>
    <mergeCell ref="I32:I33"/>
    <mergeCell ref="A35:A36"/>
    <mergeCell ref="B35:B36"/>
    <mergeCell ref="C35:C36"/>
    <mergeCell ref="D35:D36"/>
    <mergeCell ref="E35:E36"/>
    <mergeCell ref="H35:H36"/>
    <mergeCell ref="I35:I36"/>
    <mergeCell ref="F1:G1"/>
    <mergeCell ref="A32:A33"/>
    <mergeCell ref="B32:B33"/>
    <mergeCell ref="C32:C33"/>
    <mergeCell ref="D32:D33"/>
    <mergeCell ref="E32:E33"/>
    <mergeCell ref="I2:I3"/>
    <mergeCell ref="H2:H3"/>
    <mergeCell ref="A7:A8"/>
    <mergeCell ref="B7:B8"/>
    <mergeCell ref="C7:C8"/>
    <mergeCell ref="D7:D8"/>
    <mergeCell ref="E7:E8"/>
    <mergeCell ref="H7:H8"/>
    <mergeCell ref="I7:I8"/>
    <mergeCell ref="A2:A3"/>
    <mergeCell ref="B2:B3"/>
    <mergeCell ref="C2:C3"/>
    <mergeCell ref="D2:D3"/>
    <mergeCell ref="E2:E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5B1D3-65ED-40DC-B785-5A84CD9ACEC2}">
  <sheetPr codeName="Sheet11"/>
  <dimension ref="A1:B12"/>
  <sheetViews>
    <sheetView workbookViewId="0">
      <selection activeCell="A13" sqref="A13"/>
    </sheetView>
  </sheetViews>
  <sheetFormatPr defaultRowHeight="15.75" x14ac:dyDescent="0.25"/>
  <cols>
    <col min="1" max="1" width="19.125" style="48" customWidth="1"/>
    <col min="2" max="2" width="29.875" style="48" customWidth="1"/>
    <col min="3" max="16384" width="9" style="48"/>
  </cols>
  <sheetData>
    <row r="1" spans="1:2" x14ac:dyDescent="0.25">
      <c r="A1" s="48" t="s">
        <v>397</v>
      </c>
    </row>
    <row r="2" spans="1:2" x14ac:dyDescent="0.25">
      <c r="A2" s="48" t="s">
        <v>398</v>
      </c>
    </row>
    <row r="3" spans="1:2" x14ac:dyDescent="0.25">
      <c r="A3" s="48" t="s">
        <v>399</v>
      </c>
    </row>
    <row r="4" spans="1:2" x14ac:dyDescent="0.25">
      <c r="B4" s="48" t="s">
        <v>400</v>
      </c>
    </row>
    <row r="5" spans="1:2" x14ac:dyDescent="0.25">
      <c r="B5" s="48" t="s">
        <v>401</v>
      </c>
    </row>
    <row r="6" spans="1:2" x14ac:dyDescent="0.25">
      <c r="B6" s="48" t="s">
        <v>402</v>
      </c>
    </row>
    <row r="7" spans="1:2" x14ac:dyDescent="0.25">
      <c r="B7" s="48" t="s">
        <v>403</v>
      </c>
    </row>
    <row r="8" spans="1:2" x14ac:dyDescent="0.25">
      <c r="B8" s="48" t="s">
        <v>404</v>
      </c>
    </row>
    <row r="9" spans="1:2" x14ac:dyDescent="0.25">
      <c r="A9" s="48" t="s">
        <v>405</v>
      </c>
    </row>
    <row r="10" spans="1:2" x14ac:dyDescent="0.25">
      <c r="B10" s="48" t="s">
        <v>406</v>
      </c>
    </row>
    <row r="11" spans="1:2" x14ac:dyDescent="0.25">
      <c r="B11" s="48" t="s">
        <v>407</v>
      </c>
    </row>
    <row r="12" spans="1:2" x14ac:dyDescent="0.25">
      <c r="A12" s="48" t="s">
        <v>408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E73"/>
  <sheetViews>
    <sheetView tabSelected="1" topLeftCell="A7" zoomScale="70" zoomScaleNormal="70" zoomScaleSheetLayoutView="85" workbookViewId="0">
      <selection activeCell="A9" sqref="A9:P9"/>
    </sheetView>
  </sheetViews>
  <sheetFormatPr defaultColWidth="8" defaultRowHeight="15" x14ac:dyDescent="0.2"/>
  <cols>
    <col min="1" max="1" width="5.625" style="32" customWidth="1"/>
    <col min="2" max="2" width="11" style="32" customWidth="1"/>
    <col min="3" max="3" width="47.5" style="32" customWidth="1"/>
    <col min="4" max="4" width="6.375" style="32" customWidth="1"/>
    <col min="5" max="5" width="10.625" style="32" customWidth="1"/>
    <col min="6" max="7" width="6.5" style="32" customWidth="1"/>
    <col min="8" max="8" width="8.5" style="32" hidden="1" customWidth="1"/>
    <col min="9" max="9" width="6.125" style="32" customWidth="1"/>
    <col min="10" max="10" width="8.875" style="32" customWidth="1"/>
    <col min="11" max="11" width="8.875" style="28" customWidth="1"/>
    <col min="12" max="12" width="9.125" style="28" customWidth="1"/>
    <col min="13" max="13" width="11.5" style="28" customWidth="1"/>
    <col min="14" max="14" width="10.5" style="28" customWidth="1"/>
    <col min="15" max="15" width="25.625" style="28" customWidth="1"/>
    <col min="16" max="16" width="12.5" style="28" customWidth="1"/>
    <col min="17" max="17" width="1.5" style="28" customWidth="1"/>
    <col min="18" max="256" width="8" style="28"/>
    <col min="257" max="257" width="5.625" style="28" customWidth="1"/>
    <col min="258" max="258" width="11" style="28" customWidth="1"/>
    <col min="259" max="259" width="47.5" style="28" customWidth="1"/>
    <col min="260" max="260" width="6.375" style="28" customWidth="1"/>
    <col min="261" max="261" width="10.625" style="28" customWidth="1"/>
    <col min="262" max="263" width="6.5" style="28" customWidth="1"/>
    <col min="264" max="264" width="0" style="28" hidden="1" customWidth="1"/>
    <col min="265" max="265" width="6.125" style="28" customWidth="1"/>
    <col min="266" max="267" width="8.875" style="28" customWidth="1"/>
    <col min="268" max="268" width="9.125" style="28" customWidth="1"/>
    <col min="269" max="269" width="11.5" style="28" customWidth="1"/>
    <col min="270" max="270" width="10.5" style="28" customWidth="1"/>
    <col min="271" max="271" width="25.625" style="28" customWidth="1"/>
    <col min="272" max="272" width="12.5" style="28" customWidth="1"/>
    <col min="273" max="273" width="1.5" style="28" customWidth="1"/>
    <col min="274" max="512" width="8" style="28"/>
    <col min="513" max="513" width="5.625" style="28" customWidth="1"/>
    <col min="514" max="514" width="11" style="28" customWidth="1"/>
    <col min="515" max="515" width="47.5" style="28" customWidth="1"/>
    <col min="516" max="516" width="6.375" style="28" customWidth="1"/>
    <col min="517" max="517" width="10.625" style="28" customWidth="1"/>
    <col min="518" max="519" width="6.5" style="28" customWidth="1"/>
    <col min="520" max="520" width="0" style="28" hidden="1" customWidth="1"/>
    <col min="521" max="521" width="6.125" style="28" customWidth="1"/>
    <col min="522" max="523" width="8.875" style="28" customWidth="1"/>
    <col min="524" max="524" width="9.125" style="28" customWidth="1"/>
    <col min="525" max="525" width="11.5" style="28" customWidth="1"/>
    <col min="526" max="526" width="10.5" style="28" customWidth="1"/>
    <col min="527" max="527" width="25.625" style="28" customWidth="1"/>
    <col min="528" max="528" width="12.5" style="28" customWidth="1"/>
    <col min="529" max="529" width="1.5" style="28" customWidth="1"/>
    <col min="530" max="768" width="8" style="28"/>
    <col min="769" max="769" width="5.625" style="28" customWidth="1"/>
    <col min="770" max="770" width="11" style="28" customWidth="1"/>
    <col min="771" max="771" width="47.5" style="28" customWidth="1"/>
    <col min="772" max="772" width="6.375" style="28" customWidth="1"/>
    <col min="773" max="773" width="10.625" style="28" customWidth="1"/>
    <col min="774" max="775" width="6.5" style="28" customWidth="1"/>
    <col min="776" max="776" width="0" style="28" hidden="1" customWidth="1"/>
    <col min="777" max="777" width="6.125" style="28" customWidth="1"/>
    <col min="778" max="779" width="8.875" style="28" customWidth="1"/>
    <col min="780" max="780" width="9.125" style="28" customWidth="1"/>
    <col min="781" max="781" width="11.5" style="28" customWidth="1"/>
    <col min="782" max="782" width="10.5" style="28" customWidth="1"/>
    <col min="783" max="783" width="25.625" style="28" customWidth="1"/>
    <col min="784" max="784" width="12.5" style="28" customWidth="1"/>
    <col min="785" max="785" width="1.5" style="28" customWidth="1"/>
    <col min="786" max="1024" width="8" style="28"/>
    <col min="1025" max="1025" width="5.625" style="28" customWidth="1"/>
    <col min="1026" max="1026" width="11" style="28" customWidth="1"/>
    <col min="1027" max="1027" width="47.5" style="28" customWidth="1"/>
    <col min="1028" max="1028" width="6.375" style="28" customWidth="1"/>
    <col min="1029" max="1029" width="10.625" style="28" customWidth="1"/>
    <col min="1030" max="1031" width="6.5" style="28" customWidth="1"/>
    <col min="1032" max="1032" width="0" style="28" hidden="1" customWidth="1"/>
    <col min="1033" max="1033" width="6.125" style="28" customWidth="1"/>
    <col min="1034" max="1035" width="8.875" style="28" customWidth="1"/>
    <col min="1036" max="1036" width="9.125" style="28" customWidth="1"/>
    <col min="1037" max="1037" width="11.5" style="28" customWidth="1"/>
    <col min="1038" max="1038" width="10.5" style="28" customWidth="1"/>
    <col min="1039" max="1039" width="25.625" style="28" customWidth="1"/>
    <col min="1040" max="1040" width="12.5" style="28" customWidth="1"/>
    <col min="1041" max="1041" width="1.5" style="28" customWidth="1"/>
    <col min="1042" max="1280" width="8" style="28"/>
    <col min="1281" max="1281" width="5.625" style="28" customWidth="1"/>
    <col min="1282" max="1282" width="11" style="28" customWidth="1"/>
    <col min="1283" max="1283" width="47.5" style="28" customWidth="1"/>
    <col min="1284" max="1284" width="6.375" style="28" customWidth="1"/>
    <col min="1285" max="1285" width="10.625" style="28" customWidth="1"/>
    <col min="1286" max="1287" width="6.5" style="28" customWidth="1"/>
    <col min="1288" max="1288" width="0" style="28" hidden="1" customWidth="1"/>
    <col min="1289" max="1289" width="6.125" style="28" customWidth="1"/>
    <col min="1290" max="1291" width="8.875" style="28" customWidth="1"/>
    <col min="1292" max="1292" width="9.125" style="28" customWidth="1"/>
    <col min="1293" max="1293" width="11.5" style="28" customWidth="1"/>
    <col min="1294" max="1294" width="10.5" style="28" customWidth="1"/>
    <col min="1295" max="1295" width="25.625" style="28" customWidth="1"/>
    <col min="1296" max="1296" width="12.5" style="28" customWidth="1"/>
    <col min="1297" max="1297" width="1.5" style="28" customWidth="1"/>
    <col min="1298" max="1536" width="8" style="28"/>
    <col min="1537" max="1537" width="5.625" style="28" customWidth="1"/>
    <col min="1538" max="1538" width="11" style="28" customWidth="1"/>
    <col min="1539" max="1539" width="47.5" style="28" customWidth="1"/>
    <col min="1540" max="1540" width="6.375" style="28" customWidth="1"/>
    <col min="1541" max="1541" width="10.625" style="28" customWidth="1"/>
    <col min="1542" max="1543" width="6.5" style="28" customWidth="1"/>
    <col min="1544" max="1544" width="0" style="28" hidden="1" customWidth="1"/>
    <col min="1545" max="1545" width="6.125" style="28" customWidth="1"/>
    <col min="1546" max="1547" width="8.875" style="28" customWidth="1"/>
    <col min="1548" max="1548" width="9.125" style="28" customWidth="1"/>
    <col min="1549" max="1549" width="11.5" style="28" customWidth="1"/>
    <col min="1550" max="1550" width="10.5" style="28" customWidth="1"/>
    <col min="1551" max="1551" width="25.625" style="28" customWidth="1"/>
    <col min="1552" max="1552" width="12.5" style="28" customWidth="1"/>
    <col min="1553" max="1553" width="1.5" style="28" customWidth="1"/>
    <col min="1554" max="1792" width="8" style="28"/>
    <col min="1793" max="1793" width="5.625" style="28" customWidth="1"/>
    <col min="1794" max="1794" width="11" style="28" customWidth="1"/>
    <col min="1795" max="1795" width="47.5" style="28" customWidth="1"/>
    <col min="1796" max="1796" width="6.375" style="28" customWidth="1"/>
    <col min="1797" max="1797" width="10.625" style="28" customWidth="1"/>
    <col min="1798" max="1799" width="6.5" style="28" customWidth="1"/>
    <col min="1800" max="1800" width="0" style="28" hidden="1" customWidth="1"/>
    <col min="1801" max="1801" width="6.125" style="28" customWidth="1"/>
    <col min="1802" max="1803" width="8.875" style="28" customWidth="1"/>
    <col min="1804" max="1804" width="9.125" style="28" customWidth="1"/>
    <col min="1805" max="1805" width="11.5" style="28" customWidth="1"/>
    <col min="1806" max="1806" width="10.5" style="28" customWidth="1"/>
    <col min="1807" max="1807" width="25.625" style="28" customWidth="1"/>
    <col min="1808" max="1808" width="12.5" style="28" customWidth="1"/>
    <col min="1809" max="1809" width="1.5" style="28" customWidth="1"/>
    <col min="1810" max="2048" width="8" style="28"/>
    <col min="2049" max="2049" width="5.625" style="28" customWidth="1"/>
    <col min="2050" max="2050" width="11" style="28" customWidth="1"/>
    <col min="2051" max="2051" width="47.5" style="28" customWidth="1"/>
    <col min="2052" max="2052" width="6.375" style="28" customWidth="1"/>
    <col min="2053" max="2053" width="10.625" style="28" customWidth="1"/>
    <col min="2054" max="2055" width="6.5" style="28" customWidth="1"/>
    <col min="2056" max="2056" width="0" style="28" hidden="1" customWidth="1"/>
    <col min="2057" max="2057" width="6.125" style="28" customWidth="1"/>
    <col min="2058" max="2059" width="8.875" style="28" customWidth="1"/>
    <col min="2060" max="2060" width="9.125" style="28" customWidth="1"/>
    <col min="2061" max="2061" width="11.5" style="28" customWidth="1"/>
    <col min="2062" max="2062" width="10.5" style="28" customWidth="1"/>
    <col min="2063" max="2063" width="25.625" style="28" customWidth="1"/>
    <col min="2064" max="2064" width="12.5" style="28" customWidth="1"/>
    <col min="2065" max="2065" width="1.5" style="28" customWidth="1"/>
    <col min="2066" max="2304" width="8" style="28"/>
    <col min="2305" max="2305" width="5.625" style="28" customWidth="1"/>
    <col min="2306" max="2306" width="11" style="28" customWidth="1"/>
    <col min="2307" max="2307" width="47.5" style="28" customWidth="1"/>
    <col min="2308" max="2308" width="6.375" style="28" customWidth="1"/>
    <col min="2309" max="2309" width="10.625" style="28" customWidth="1"/>
    <col min="2310" max="2311" width="6.5" style="28" customWidth="1"/>
    <col min="2312" max="2312" width="0" style="28" hidden="1" customWidth="1"/>
    <col min="2313" max="2313" width="6.125" style="28" customWidth="1"/>
    <col min="2314" max="2315" width="8.875" style="28" customWidth="1"/>
    <col min="2316" max="2316" width="9.125" style="28" customWidth="1"/>
    <col min="2317" max="2317" width="11.5" style="28" customWidth="1"/>
    <col min="2318" max="2318" width="10.5" style="28" customWidth="1"/>
    <col min="2319" max="2319" width="25.625" style="28" customWidth="1"/>
    <col min="2320" max="2320" width="12.5" style="28" customWidth="1"/>
    <col min="2321" max="2321" width="1.5" style="28" customWidth="1"/>
    <col min="2322" max="2560" width="8" style="28"/>
    <col min="2561" max="2561" width="5.625" style="28" customWidth="1"/>
    <col min="2562" max="2562" width="11" style="28" customWidth="1"/>
    <col min="2563" max="2563" width="47.5" style="28" customWidth="1"/>
    <col min="2564" max="2564" width="6.375" style="28" customWidth="1"/>
    <col min="2565" max="2565" width="10.625" style="28" customWidth="1"/>
    <col min="2566" max="2567" width="6.5" style="28" customWidth="1"/>
    <col min="2568" max="2568" width="0" style="28" hidden="1" customWidth="1"/>
    <col min="2569" max="2569" width="6.125" style="28" customWidth="1"/>
    <col min="2570" max="2571" width="8.875" style="28" customWidth="1"/>
    <col min="2572" max="2572" width="9.125" style="28" customWidth="1"/>
    <col min="2573" max="2573" width="11.5" style="28" customWidth="1"/>
    <col min="2574" max="2574" width="10.5" style="28" customWidth="1"/>
    <col min="2575" max="2575" width="25.625" style="28" customWidth="1"/>
    <col min="2576" max="2576" width="12.5" style="28" customWidth="1"/>
    <col min="2577" max="2577" width="1.5" style="28" customWidth="1"/>
    <col min="2578" max="2816" width="8" style="28"/>
    <col min="2817" max="2817" width="5.625" style="28" customWidth="1"/>
    <col min="2818" max="2818" width="11" style="28" customWidth="1"/>
    <col min="2819" max="2819" width="47.5" style="28" customWidth="1"/>
    <col min="2820" max="2820" width="6.375" style="28" customWidth="1"/>
    <col min="2821" max="2821" width="10.625" style="28" customWidth="1"/>
    <col min="2822" max="2823" width="6.5" style="28" customWidth="1"/>
    <col min="2824" max="2824" width="0" style="28" hidden="1" customWidth="1"/>
    <col min="2825" max="2825" width="6.125" style="28" customWidth="1"/>
    <col min="2826" max="2827" width="8.875" style="28" customWidth="1"/>
    <col min="2828" max="2828" width="9.125" style="28" customWidth="1"/>
    <col min="2829" max="2829" width="11.5" style="28" customWidth="1"/>
    <col min="2830" max="2830" width="10.5" style="28" customWidth="1"/>
    <col min="2831" max="2831" width="25.625" style="28" customWidth="1"/>
    <col min="2832" max="2832" width="12.5" style="28" customWidth="1"/>
    <col min="2833" max="2833" width="1.5" style="28" customWidth="1"/>
    <col min="2834" max="3072" width="8" style="28"/>
    <col min="3073" max="3073" width="5.625" style="28" customWidth="1"/>
    <col min="3074" max="3074" width="11" style="28" customWidth="1"/>
    <col min="3075" max="3075" width="47.5" style="28" customWidth="1"/>
    <col min="3076" max="3076" width="6.375" style="28" customWidth="1"/>
    <col min="3077" max="3077" width="10.625" style="28" customWidth="1"/>
    <col min="3078" max="3079" width="6.5" style="28" customWidth="1"/>
    <col min="3080" max="3080" width="0" style="28" hidden="1" customWidth="1"/>
    <col min="3081" max="3081" width="6.125" style="28" customWidth="1"/>
    <col min="3082" max="3083" width="8.875" style="28" customWidth="1"/>
    <col min="3084" max="3084" width="9.125" style="28" customWidth="1"/>
    <col min="3085" max="3085" width="11.5" style="28" customWidth="1"/>
    <col min="3086" max="3086" width="10.5" style="28" customWidth="1"/>
    <col min="3087" max="3087" width="25.625" style="28" customWidth="1"/>
    <col min="3088" max="3088" width="12.5" style="28" customWidth="1"/>
    <col min="3089" max="3089" width="1.5" style="28" customWidth="1"/>
    <col min="3090" max="3328" width="8" style="28"/>
    <col min="3329" max="3329" width="5.625" style="28" customWidth="1"/>
    <col min="3330" max="3330" width="11" style="28" customWidth="1"/>
    <col min="3331" max="3331" width="47.5" style="28" customWidth="1"/>
    <col min="3332" max="3332" width="6.375" style="28" customWidth="1"/>
    <col min="3333" max="3333" width="10.625" style="28" customWidth="1"/>
    <col min="3334" max="3335" width="6.5" style="28" customWidth="1"/>
    <col min="3336" max="3336" width="0" style="28" hidden="1" customWidth="1"/>
    <col min="3337" max="3337" width="6.125" style="28" customWidth="1"/>
    <col min="3338" max="3339" width="8.875" style="28" customWidth="1"/>
    <col min="3340" max="3340" width="9.125" style="28" customWidth="1"/>
    <col min="3341" max="3341" width="11.5" style="28" customWidth="1"/>
    <col min="3342" max="3342" width="10.5" style="28" customWidth="1"/>
    <col min="3343" max="3343" width="25.625" style="28" customWidth="1"/>
    <col min="3344" max="3344" width="12.5" style="28" customWidth="1"/>
    <col min="3345" max="3345" width="1.5" style="28" customWidth="1"/>
    <col min="3346" max="3584" width="8" style="28"/>
    <col min="3585" max="3585" width="5.625" style="28" customWidth="1"/>
    <col min="3586" max="3586" width="11" style="28" customWidth="1"/>
    <col min="3587" max="3587" width="47.5" style="28" customWidth="1"/>
    <col min="3588" max="3588" width="6.375" style="28" customWidth="1"/>
    <col min="3589" max="3589" width="10.625" style="28" customWidth="1"/>
    <col min="3590" max="3591" width="6.5" style="28" customWidth="1"/>
    <col min="3592" max="3592" width="0" style="28" hidden="1" customWidth="1"/>
    <col min="3593" max="3593" width="6.125" style="28" customWidth="1"/>
    <col min="3594" max="3595" width="8.875" style="28" customWidth="1"/>
    <col min="3596" max="3596" width="9.125" style="28" customWidth="1"/>
    <col min="3597" max="3597" width="11.5" style="28" customWidth="1"/>
    <col min="3598" max="3598" width="10.5" style="28" customWidth="1"/>
    <col min="3599" max="3599" width="25.625" style="28" customWidth="1"/>
    <col min="3600" max="3600" width="12.5" style="28" customWidth="1"/>
    <col min="3601" max="3601" width="1.5" style="28" customWidth="1"/>
    <col min="3602" max="3840" width="8" style="28"/>
    <col min="3841" max="3841" width="5.625" style="28" customWidth="1"/>
    <col min="3842" max="3842" width="11" style="28" customWidth="1"/>
    <col min="3843" max="3843" width="47.5" style="28" customWidth="1"/>
    <col min="3844" max="3844" width="6.375" style="28" customWidth="1"/>
    <col min="3845" max="3845" width="10.625" style="28" customWidth="1"/>
    <col min="3846" max="3847" width="6.5" style="28" customWidth="1"/>
    <col min="3848" max="3848" width="0" style="28" hidden="1" customWidth="1"/>
    <col min="3849" max="3849" width="6.125" style="28" customWidth="1"/>
    <col min="3850" max="3851" width="8.875" style="28" customWidth="1"/>
    <col min="3852" max="3852" width="9.125" style="28" customWidth="1"/>
    <col min="3853" max="3853" width="11.5" style="28" customWidth="1"/>
    <col min="3854" max="3854" width="10.5" style="28" customWidth="1"/>
    <col min="3855" max="3855" width="25.625" style="28" customWidth="1"/>
    <col min="3856" max="3856" width="12.5" style="28" customWidth="1"/>
    <col min="3857" max="3857" width="1.5" style="28" customWidth="1"/>
    <col min="3858" max="4096" width="8" style="28"/>
    <col min="4097" max="4097" width="5.625" style="28" customWidth="1"/>
    <col min="4098" max="4098" width="11" style="28" customWidth="1"/>
    <col min="4099" max="4099" width="47.5" style="28" customWidth="1"/>
    <col min="4100" max="4100" width="6.375" style="28" customWidth="1"/>
    <col min="4101" max="4101" width="10.625" style="28" customWidth="1"/>
    <col min="4102" max="4103" width="6.5" style="28" customWidth="1"/>
    <col min="4104" max="4104" width="0" style="28" hidden="1" customWidth="1"/>
    <col min="4105" max="4105" width="6.125" style="28" customWidth="1"/>
    <col min="4106" max="4107" width="8.875" style="28" customWidth="1"/>
    <col min="4108" max="4108" width="9.125" style="28" customWidth="1"/>
    <col min="4109" max="4109" width="11.5" style="28" customWidth="1"/>
    <col min="4110" max="4110" width="10.5" style="28" customWidth="1"/>
    <col min="4111" max="4111" width="25.625" style="28" customWidth="1"/>
    <col min="4112" max="4112" width="12.5" style="28" customWidth="1"/>
    <col min="4113" max="4113" width="1.5" style="28" customWidth="1"/>
    <col min="4114" max="4352" width="8" style="28"/>
    <col min="4353" max="4353" width="5.625" style="28" customWidth="1"/>
    <col min="4354" max="4354" width="11" style="28" customWidth="1"/>
    <col min="4355" max="4355" width="47.5" style="28" customWidth="1"/>
    <col min="4356" max="4356" width="6.375" style="28" customWidth="1"/>
    <col min="4357" max="4357" width="10.625" style="28" customWidth="1"/>
    <col min="4358" max="4359" width="6.5" style="28" customWidth="1"/>
    <col min="4360" max="4360" width="0" style="28" hidden="1" customWidth="1"/>
    <col min="4361" max="4361" width="6.125" style="28" customWidth="1"/>
    <col min="4362" max="4363" width="8.875" style="28" customWidth="1"/>
    <col min="4364" max="4364" width="9.125" style="28" customWidth="1"/>
    <col min="4365" max="4365" width="11.5" style="28" customWidth="1"/>
    <col min="4366" max="4366" width="10.5" style="28" customWidth="1"/>
    <col min="4367" max="4367" width="25.625" style="28" customWidth="1"/>
    <col min="4368" max="4368" width="12.5" style="28" customWidth="1"/>
    <col min="4369" max="4369" width="1.5" style="28" customWidth="1"/>
    <col min="4370" max="4608" width="8" style="28"/>
    <col min="4609" max="4609" width="5.625" style="28" customWidth="1"/>
    <col min="4610" max="4610" width="11" style="28" customWidth="1"/>
    <col min="4611" max="4611" width="47.5" style="28" customWidth="1"/>
    <col min="4612" max="4612" width="6.375" style="28" customWidth="1"/>
    <col min="4613" max="4613" width="10.625" style="28" customWidth="1"/>
    <col min="4614" max="4615" width="6.5" style="28" customWidth="1"/>
    <col min="4616" max="4616" width="0" style="28" hidden="1" customWidth="1"/>
    <col min="4617" max="4617" width="6.125" style="28" customWidth="1"/>
    <col min="4618" max="4619" width="8.875" style="28" customWidth="1"/>
    <col min="4620" max="4620" width="9.125" style="28" customWidth="1"/>
    <col min="4621" max="4621" width="11.5" style="28" customWidth="1"/>
    <col min="4622" max="4622" width="10.5" style="28" customWidth="1"/>
    <col min="4623" max="4623" width="25.625" style="28" customWidth="1"/>
    <col min="4624" max="4624" width="12.5" style="28" customWidth="1"/>
    <col min="4625" max="4625" width="1.5" style="28" customWidth="1"/>
    <col min="4626" max="4864" width="8" style="28"/>
    <col min="4865" max="4865" width="5.625" style="28" customWidth="1"/>
    <col min="4866" max="4866" width="11" style="28" customWidth="1"/>
    <col min="4867" max="4867" width="47.5" style="28" customWidth="1"/>
    <col min="4868" max="4868" width="6.375" style="28" customWidth="1"/>
    <col min="4869" max="4869" width="10.625" style="28" customWidth="1"/>
    <col min="4870" max="4871" width="6.5" style="28" customWidth="1"/>
    <col min="4872" max="4872" width="0" style="28" hidden="1" customWidth="1"/>
    <col min="4873" max="4873" width="6.125" style="28" customWidth="1"/>
    <col min="4874" max="4875" width="8.875" style="28" customWidth="1"/>
    <col min="4876" max="4876" width="9.125" style="28" customWidth="1"/>
    <col min="4877" max="4877" width="11.5" style="28" customWidth="1"/>
    <col min="4878" max="4878" width="10.5" style="28" customWidth="1"/>
    <col min="4879" max="4879" width="25.625" style="28" customWidth="1"/>
    <col min="4880" max="4880" width="12.5" style="28" customWidth="1"/>
    <col min="4881" max="4881" width="1.5" style="28" customWidth="1"/>
    <col min="4882" max="5120" width="8" style="28"/>
    <col min="5121" max="5121" width="5.625" style="28" customWidth="1"/>
    <col min="5122" max="5122" width="11" style="28" customWidth="1"/>
    <col min="5123" max="5123" width="47.5" style="28" customWidth="1"/>
    <col min="5124" max="5124" width="6.375" style="28" customWidth="1"/>
    <col min="5125" max="5125" width="10.625" style="28" customWidth="1"/>
    <col min="5126" max="5127" width="6.5" style="28" customWidth="1"/>
    <col min="5128" max="5128" width="0" style="28" hidden="1" customWidth="1"/>
    <col min="5129" max="5129" width="6.125" style="28" customWidth="1"/>
    <col min="5130" max="5131" width="8.875" style="28" customWidth="1"/>
    <col min="5132" max="5132" width="9.125" style="28" customWidth="1"/>
    <col min="5133" max="5133" width="11.5" style="28" customWidth="1"/>
    <col min="5134" max="5134" width="10.5" style="28" customWidth="1"/>
    <col min="5135" max="5135" width="25.625" style="28" customWidth="1"/>
    <col min="5136" max="5136" width="12.5" style="28" customWidth="1"/>
    <col min="5137" max="5137" width="1.5" style="28" customWidth="1"/>
    <col min="5138" max="5376" width="8" style="28"/>
    <col min="5377" max="5377" width="5.625" style="28" customWidth="1"/>
    <col min="5378" max="5378" width="11" style="28" customWidth="1"/>
    <col min="5379" max="5379" width="47.5" style="28" customWidth="1"/>
    <col min="5380" max="5380" width="6.375" style="28" customWidth="1"/>
    <col min="5381" max="5381" width="10.625" style="28" customWidth="1"/>
    <col min="5382" max="5383" width="6.5" style="28" customWidth="1"/>
    <col min="5384" max="5384" width="0" style="28" hidden="1" customWidth="1"/>
    <col min="5385" max="5385" width="6.125" style="28" customWidth="1"/>
    <col min="5386" max="5387" width="8.875" style="28" customWidth="1"/>
    <col min="5388" max="5388" width="9.125" style="28" customWidth="1"/>
    <col min="5389" max="5389" width="11.5" style="28" customWidth="1"/>
    <col min="5390" max="5390" width="10.5" style="28" customWidth="1"/>
    <col min="5391" max="5391" width="25.625" style="28" customWidth="1"/>
    <col min="5392" max="5392" width="12.5" style="28" customWidth="1"/>
    <col min="5393" max="5393" width="1.5" style="28" customWidth="1"/>
    <col min="5394" max="5632" width="8" style="28"/>
    <col min="5633" max="5633" width="5.625" style="28" customWidth="1"/>
    <col min="5634" max="5634" width="11" style="28" customWidth="1"/>
    <col min="5635" max="5635" width="47.5" style="28" customWidth="1"/>
    <col min="5636" max="5636" width="6.375" style="28" customWidth="1"/>
    <col min="5637" max="5637" width="10.625" style="28" customWidth="1"/>
    <col min="5638" max="5639" width="6.5" style="28" customWidth="1"/>
    <col min="5640" max="5640" width="0" style="28" hidden="1" customWidth="1"/>
    <col min="5641" max="5641" width="6.125" style="28" customWidth="1"/>
    <col min="5642" max="5643" width="8.875" style="28" customWidth="1"/>
    <col min="5644" max="5644" width="9.125" style="28" customWidth="1"/>
    <col min="5645" max="5645" width="11.5" style="28" customWidth="1"/>
    <col min="5646" max="5646" width="10.5" style="28" customWidth="1"/>
    <col min="5647" max="5647" width="25.625" style="28" customWidth="1"/>
    <col min="5648" max="5648" width="12.5" style="28" customWidth="1"/>
    <col min="5649" max="5649" width="1.5" style="28" customWidth="1"/>
    <col min="5650" max="5888" width="8" style="28"/>
    <col min="5889" max="5889" width="5.625" style="28" customWidth="1"/>
    <col min="5890" max="5890" width="11" style="28" customWidth="1"/>
    <col min="5891" max="5891" width="47.5" style="28" customWidth="1"/>
    <col min="5892" max="5892" width="6.375" style="28" customWidth="1"/>
    <col min="5893" max="5893" width="10.625" style="28" customWidth="1"/>
    <col min="5894" max="5895" width="6.5" style="28" customWidth="1"/>
    <col min="5896" max="5896" width="0" style="28" hidden="1" customWidth="1"/>
    <col min="5897" max="5897" width="6.125" style="28" customWidth="1"/>
    <col min="5898" max="5899" width="8.875" style="28" customWidth="1"/>
    <col min="5900" max="5900" width="9.125" style="28" customWidth="1"/>
    <col min="5901" max="5901" width="11.5" style="28" customWidth="1"/>
    <col min="5902" max="5902" width="10.5" style="28" customWidth="1"/>
    <col min="5903" max="5903" width="25.625" style="28" customWidth="1"/>
    <col min="5904" max="5904" width="12.5" style="28" customWidth="1"/>
    <col min="5905" max="5905" width="1.5" style="28" customWidth="1"/>
    <col min="5906" max="6144" width="8" style="28"/>
    <col min="6145" max="6145" width="5.625" style="28" customWidth="1"/>
    <col min="6146" max="6146" width="11" style="28" customWidth="1"/>
    <col min="6147" max="6147" width="47.5" style="28" customWidth="1"/>
    <col min="6148" max="6148" width="6.375" style="28" customWidth="1"/>
    <col min="6149" max="6149" width="10.625" style="28" customWidth="1"/>
    <col min="6150" max="6151" width="6.5" style="28" customWidth="1"/>
    <col min="6152" max="6152" width="0" style="28" hidden="1" customWidth="1"/>
    <col min="6153" max="6153" width="6.125" style="28" customWidth="1"/>
    <col min="6154" max="6155" width="8.875" style="28" customWidth="1"/>
    <col min="6156" max="6156" width="9.125" style="28" customWidth="1"/>
    <col min="6157" max="6157" width="11.5" style="28" customWidth="1"/>
    <col min="6158" max="6158" width="10.5" style="28" customWidth="1"/>
    <col min="6159" max="6159" width="25.625" style="28" customWidth="1"/>
    <col min="6160" max="6160" width="12.5" style="28" customWidth="1"/>
    <col min="6161" max="6161" width="1.5" style="28" customWidth="1"/>
    <col min="6162" max="6400" width="8" style="28"/>
    <col min="6401" max="6401" width="5.625" style="28" customWidth="1"/>
    <col min="6402" max="6402" width="11" style="28" customWidth="1"/>
    <col min="6403" max="6403" width="47.5" style="28" customWidth="1"/>
    <col min="6404" max="6404" width="6.375" style="28" customWidth="1"/>
    <col min="6405" max="6405" width="10.625" style="28" customWidth="1"/>
    <col min="6406" max="6407" width="6.5" style="28" customWidth="1"/>
    <col min="6408" max="6408" width="0" style="28" hidden="1" customWidth="1"/>
    <col min="6409" max="6409" width="6.125" style="28" customWidth="1"/>
    <col min="6410" max="6411" width="8.875" style="28" customWidth="1"/>
    <col min="6412" max="6412" width="9.125" style="28" customWidth="1"/>
    <col min="6413" max="6413" width="11.5" style="28" customWidth="1"/>
    <col min="6414" max="6414" width="10.5" style="28" customWidth="1"/>
    <col min="6415" max="6415" width="25.625" style="28" customWidth="1"/>
    <col min="6416" max="6416" width="12.5" style="28" customWidth="1"/>
    <col min="6417" max="6417" width="1.5" style="28" customWidth="1"/>
    <col min="6418" max="6656" width="8" style="28"/>
    <col min="6657" max="6657" width="5.625" style="28" customWidth="1"/>
    <col min="6658" max="6658" width="11" style="28" customWidth="1"/>
    <col min="6659" max="6659" width="47.5" style="28" customWidth="1"/>
    <col min="6660" max="6660" width="6.375" style="28" customWidth="1"/>
    <col min="6661" max="6661" width="10.625" style="28" customWidth="1"/>
    <col min="6662" max="6663" width="6.5" style="28" customWidth="1"/>
    <col min="6664" max="6664" width="0" style="28" hidden="1" customWidth="1"/>
    <col min="6665" max="6665" width="6.125" style="28" customWidth="1"/>
    <col min="6666" max="6667" width="8.875" style="28" customWidth="1"/>
    <col min="6668" max="6668" width="9.125" style="28" customWidth="1"/>
    <col min="6669" max="6669" width="11.5" style="28" customWidth="1"/>
    <col min="6670" max="6670" width="10.5" style="28" customWidth="1"/>
    <col min="6671" max="6671" width="25.625" style="28" customWidth="1"/>
    <col min="6672" max="6672" width="12.5" style="28" customWidth="1"/>
    <col min="6673" max="6673" width="1.5" style="28" customWidth="1"/>
    <col min="6674" max="6912" width="8" style="28"/>
    <col min="6913" max="6913" width="5.625" style="28" customWidth="1"/>
    <col min="6914" max="6914" width="11" style="28" customWidth="1"/>
    <col min="6915" max="6915" width="47.5" style="28" customWidth="1"/>
    <col min="6916" max="6916" width="6.375" style="28" customWidth="1"/>
    <col min="6917" max="6917" width="10.625" style="28" customWidth="1"/>
    <col min="6918" max="6919" width="6.5" style="28" customWidth="1"/>
    <col min="6920" max="6920" width="0" style="28" hidden="1" customWidth="1"/>
    <col min="6921" max="6921" width="6.125" style="28" customWidth="1"/>
    <col min="6922" max="6923" width="8.875" style="28" customWidth="1"/>
    <col min="6924" max="6924" width="9.125" style="28" customWidth="1"/>
    <col min="6925" max="6925" width="11.5" style="28" customWidth="1"/>
    <col min="6926" max="6926" width="10.5" style="28" customWidth="1"/>
    <col min="6927" max="6927" width="25.625" style="28" customWidth="1"/>
    <col min="6928" max="6928" width="12.5" style="28" customWidth="1"/>
    <col min="6929" max="6929" width="1.5" style="28" customWidth="1"/>
    <col min="6930" max="7168" width="8" style="28"/>
    <col min="7169" max="7169" width="5.625" style="28" customWidth="1"/>
    <col min="7170" max="7170" width="11" style="28" customWidth="1"/>
    <col min="7171" max="7171" width="47.5" style="28" customWidth="1"/>
    <col min="7172" max="7172" width="6.375" style="28" customWidth="1"/>
    <col min="7173" max="7173" width="10.625" style="28" customWidth="1"/>
    <col min="7174" max="7175" width="6.5" style="28" customWidth="1"/>
    <col min="7176" max="7176" width="0" style="28" hidden="1" customWidth="1"/>
    <col min="7177" max="7177" width="6.125" style="28" customWidth="1"/>
    <col min="7178" max="7179" width="8.875" style="28" customWidth="1"/>
    <col min="7180" max="7180" width="9.125" style="28" customWidth="1"/>
    <col min="7181" max="7181" width="11.5" style="28" customWidth="1"/>
    <col min="7182" max="7182" width="10.5" style="28" customWidth="1"/>
    <col min="7183" max="7183" width="25.625" style="28" customWidth="1"/>
    <col min="7184" max="7184" width="12.5" style="28" customWidth="1"/>
    <col min="7185" max="7185" width="1.5" style="28" customWidth="1"/>
    <col min="7186" max="7424" width="8" style="28"/>
    <col min="7425" max="7425" width="5.625" style="28" customWidth="1"/>
    <col min="7426" max="7426" width="11" style="28" customWidth="1"/>
    <col min="7427" max="7427" width="47.5" style="28" customWidth="1"/>
    <col min="7428" max="7428" width="6.375" style="28" customWidth="1"/>
    <col min="7429" max="7429" width="10.625" style="28" customWidth="1"/>
    <col min="7430" max="7431" width="6.5" style="28" customWidth="1"/>
    <col min="7432" max="7432" width="0" style="28" hidden="1" customWidth="1"/>
    <col min="7433" max="7433" width="6.125" style="28" customWidth="1"/>
    <col min="7434" max="7435" width="8.875" style="28" customWidth="1"/>
    <col min="7436" max="7436" width="9.125" style="28" customWidth="1"/>
    <col min="7437" max="7437" width="11.5" style="28" customWidth="1"/>
    <col min="7438" max="7438" width="10.5" style="28" customWidth="1"/>
    <col min="7439" max="7439" width="25.625" style="28" customWidth="1"/>
    <col min="7440" max="7440" width="12.5" style="28" customWidth="1"/>
    <col min="7441" max="7441" width="1.5" style="28" customWidth="1"/>
    <col min="7442" max="7680" width="8" style="28"/>
    <col min="7681" max="7681" width="5.625" style="28" customWidth="1"/>
    <col min="7682" max="7682" width="11" style="28" customWidth="1"/>
    <col min="7683" max="7683" width="47.5" style="28" customWidth="1"/>
    <col min="7684" max="7684" width="6.375" style="28" customWidth="1"/>
    <col min="7685" max="7685" width="10.625" style="28" customWidth="1"/>
    <col min="7686" max="7687" width="6.5" style="28" customWidth="1"/>
    <col min="7688" max="7688" width="0" style="28" hidden="1" customWidth="1"/>
    <col min="7689" max="7689" width="6.125" style="28" customWidth="1"/>
    <col min="7690" max="7691" width="8.875" style="28" customWidth="1"/>
    <col min="7692" max="7692" width="9.125" style="28" customWidth="1"/>
    <col min="7693" max="7693" width="11.5" style="28" customWidth="1"/>
    <col min="7694" max="7694" width="10.5" style="28" customWidth="1"/>
    <col min="7695" max="7695" width="25.625" style="28" customWidth="1"/>
    <col min="7696" max="7696" width="12.5" style="28" customWidth="1"/>
    <col min="7697" max="7697" width="1.5" style="28" customWidth="1"/>
    <col min="7698" max="7936" width="8" style="28"/>
    <col min="7937" max="7937" width="5.625" style="28" customWidth="1"/>
    <col min="7938" max="7938" width="11" style="28" customWidth="1"/>
    <col min="7939" max="7939" width="47.5" style="28" customWidth="1"/>
    <col min="7940" max="7940" width="6.375" style="28" customWidth="1"/>
    <col min="7941" max="7941" width="10.625" style="28" customWidth="1"/>
    <col min="7942" max="7943" width="6.5" style="28" customWidth="1"/>
    <col min="7944" max="7944" width="0" style="28" hidden="1" customWidth="1"/>
    <col min="7945" max="7945" width="6.125" style="28" customWidth="1"/>
    <col min="7946" max="7947" width="8.875" style="28" customWidth="1"/>
    <col min="7948" max="7948" width="9.125" style="28" customWidth="1"/>
    <col min="7949" max="7949" width="11.5" style="28" customWidth="1"/>
    <col min="7950" max="7950" width="10.5" style="28" customWidth="1"/>
    <col min="7951" max="7951" width="25.625" style="28" customWidth="1"/>
    <col min="7952" max="7952" width="12.5" style="28" customWidth="1"/>
    <col min="7953" max="7953" width="1.5" style="28" customWidth="1"/>
    <col min="7954" max="8192" width="8" style="28"/>
    <col min="8193" max="8193" width="5.625" style="28" customWidth="1"/>
    <col min="8194" max="8194" width="11" style="28" customWidth="1"/>
    <col min="8195" max="8195" width="47.5" style="28" customWidth="1"/>
    <col min="8196" max="8196" width="6.375" style="28" customWidth="1"/>
    <col min="8197" max="8197" width="10.625" style="28" customWidth="1"/>
    <col min="8198" max="8199" width="6.5" style="28" customWidth="1"/>
    <col min="8200" max="8200" width="0" style="28" hidden="1" customWidth="1"/>
    <col min="8201" max="8201" width="6.125" style="28" customWidth="1"/>
    <col min="8202" max="8203" width="8.875" style="28" customWidth="1"/>
    <col min="8204" max="8204" width="9.125" style="28" customWidth="1"/>
    <col min="8205" max="8205" width="11.5" style="28" customWidth="1"/>
    <col min="8206" max="8206" width="10.5" style="28" customWidth="1"/>
    <col min="8207" max="8207" width="25.625" style="28" customWidth="1"/>
    <col min="8208" max="8208" width="12.5" style="28" customWidth="1"/>
    <col min="8209" max="8209" width="1.5" style="28" customWidth="1"/>
    <col min="8210" max="8448" width="8" style="28"/>
    <col min="8449" max="8449" width="5.625" style="28" customWidth="1"/>
    <col min="8450" max="8450" width="11" style="28" customWidth="1"/>
    <col min="8451" max="8451" width="47.5" style="28" customWidth="1"/>
    <col min="8452" max="8452" width="6.375" style="28" customWidth="1"/>
    <col min="8453" max="8453" width="10.625" style="28" customWidth="1"/>
    <col min="8454" max="8455" width="6.5" style="28" customWidth="1"/>
    <col min="8456" max="8456" width="0" style="28" hidden="1" customWidth="1"/>
    <col min="8457" max="8457" width="6.125" style="28" customWidth="1"/>
    <col min="8458" max="8459" width="8.875" style="28" customWidth="1"/>
    <col min="8460" max="8460" width="9.125" style="28" customWidth="1"/>
    <col min="8461" max="8461" width="11.5" style="28" customWidth="1"/>
    <col min="8462" max="8462" width="10.5" style="28" customWidth="1"/>
    <col min="8463" max="8463" width="25.625" style="28" customWidth="1"/>
    <col min="8464" max="8464" width="12.5" style="28" customWidth="1"/>
    <col min="8465" max="8465" width="1.5" style="28" customWidth="1"/>
    <col min="8466" max="8704" width="8" style="28"/>
    <col min="8705" max="8705" width="5.625" style="28" customWidth="1"/>
    <col min="8706" max="8706" width="11" style="28" customWidth="1"/>
    <col min="8707" max="8707" width="47.5" style="28" customWidth="1"/>
    <col min="8708" max="8708" width="6.375" style="28" customWidth="1"/>
    <col min="8709" max="8709" width="10.625" style="28" customWidth="1"/>
    <col min="8710" max="8711" width="6.5" style="28" customWidth="1"/>
    <col min="8712" max="8712" width="0" style="28" hidden="1" customWidth="1"/>
    <col min="8713" max="8713" width="6.125" style="28" customWidth="1"/>
    <col min="8714" max="8715" width="8.875" style="28" customWidth="1"/>
    <col min="8716" max="8716" width="9.125" style="28" customWidth="1"/>
    <col min="8717" max="8717" width="11.5" style="28" customWidth="1"/>
    <col min="8718" max="8718" width="10.5" style="28" customWidth="1"/>
    <col min="8719" max="8719" width="25.625" style="28" customWidth="1"/>
    <col min="8720" max="8720" width="12.5" style="28" customWidth="1"/>
    <col min="8721" max="8721" width="1.5" style="28" customWidth="1"/>
    <col min="8722" max="8960" width="8" style="28"/>
    <col min="8961" max="8961" width="5.625" style="28" customWidth="1"/>
    <col min="8962" max="8962" width="11" style="28" customWidth="1"/>
    <col min="8963" max="8963" width="47.5" style="28" customWidth="1"/>
    <col min="8964" max="8964" width="6.375" style="28" customWidth="1"/>
    <col min="8965" max="8965" width="10.625" style="28" customWidth="1"/>
    <col min="8966" max="8967" width="6.5" style="28" customWidth="1"/>
    <col min="8968" max="8968" width="0" style="28" hidden="1" customWidth="1"/>
    <col min="8969" max="8969" width="6.125" style="28" customWidth="1"/>
    <col min="8970" max="8971" width="8.875" style="28" customWidth="1"/>
    <col min="8972" max="8972" width="9.125" style="28" customWidth="1"/>
    <col min="8973" max="8973" width="11.5" style="28" customWidth="1"/>
    <col min="8974" max="8974" width="10.5" style="28" customWidth="1"/>
    <col min="8975" max="8975" width="25.625" style="28" customWidth="1"/>
    <col min="8976" max="8976" width="12.5" style="28" customWidth="1"/>
    <col min="8977" max="8977" width="1.5" style="28" customWidth="1"/>
    <col min="8978" max="9216" width="8" style="28"/>
    <col min="9217" max="9217" width="5.625" style="28" customWidth="1"/>
    <col min="9218" max="9218" width="11" style="28" customWidth="1"/>
    <col min="9219" max="9219" width="47.5" style="28" customWidth="1"/>
    <col min="9220" max="9220" width="6.375" style="28" customWidth="1"/>
    <col min="9221" max="9221" width="10.625" style="28" customWidth="1"/>
    <col min="9222" max="9223" width="6.5" style="28" customWidth="1"/>
    <col min="9224" max="9224" width="0" style="28" hidden="1" customWidth="1"/>
    <col min="9225" max="9225" width="6.125" style="28" customWidth="1"/>
    <col min="9226" max="9227" width="8.875" style="28" customWidth="1"/>
    <col min="9228" max="9228" width="9.125" style="28" customWidth="1"/>
    <col min="9229" max="9229" width="11.5" style="28" customWidth="1"/>
    <col min="9230" max="9230" width="10.5" style="28" customWidth="1"/>
    <col min="9231" max="9231" width="25.625" style="28" customWidth="1"/>
    <col min="9232" max="9232" width="12.5" style="28" customWidth="1"/>
    <col min="9233" max="9233" width="1.5" style="28" customWidth="1"/>
    <col min="9234" max="9472" width="8" style="28"/>
    <col min="9473" max="9473" width="5.625" style="28" customWidth="1"/>
    <col min="9474" max="9474" width="11" style="28" customWidth="1"/>
    <col min="9475" max="9475" width="47.5" style="28" customWidth="1"/>
    <col min="9476" max="9476" width="6.375" style="28" customWidth="1"/>
    <col min="9477" max="9477" width="10.625" style="28" customWidth="1"/>
    <col min="9478" max="9479" width="6.5" style="28" customWidth="1"/>
    <col min="9480" max="9480" width="0" style="28" hidden="1" customWidth="1"/>
    <col min="9481" max="9481" width="6.125" style="28" customWidth="1"/>
    <col min="9482" max="9483" width="8.875" style="28" customWidth="1"/>
    <col min="9484" max="9484" width="9.125" style="28" customWidth="1"/>
    <col min="9485" max="9485" width="11.5" style="28" customWidth="1"/>
    <col min="9486" max="9486" width="10.5" style="28" customWidth="1"/>
    <col min="9487" max="9487" width="25.625" style="28" customWidth="1"/>
    <col min="9488" max="9488" width="12.5" style="28" customWidth="1"/>
    <col min="9489" max="9489" width="1.5" style="28" customWidth="1"/>
    <col min="9490" max="9728" width="8" style="28"/>
    <col min="9729" max="9729" width="5.625" style="28" customWidth="1"/>
    <col min="9730" max="9730" width="11" style="28" customWidth="1"/>
    <col min="9731" max="9731" width="47.5" style="28" customWidth="1"/>
    <col min="9732" max="9732" width="6.375" style="28" customWidth="1"/>
    <col min="9733" max="9733" width="10.625" style="28" customWidth="1"/>
    <col min="9734" max="9735" width="6.5" style="28" customWidth="1"/>
    <col min="9736" max="9736" width="0" style="28" hidden="1" customWidth="1"/>
    <col min="9737" max="9737" width="6.125" style="28" customWidth="1"/>
    <col min="9738" max="9739" width="8.875" style="28" customWidth="1"/>
    <col min="9740" max="9740" width="9.125" style="28" customWidth="1"/>
    <col min="9741" max="9741" width="11.5" style="28" customWidth="1"/>
    <col min="9742" max="9742" width="10.5" style="28" customWidth="1"/>
    <col min="9743" max="9743" width="25.625" style="28" customWidth="1"/>
    <col min="9744" max="9744" width="12.5" style="28" customWidth="1"/>
    <col min="9745" max="9745" width="1.5" style="28" customWidth="1"/>
    <col min="9746" max="9984" width="8" style="28"/>
    <col min="9985" max="9985" width="5.625" style="28" customWidth="1"/>
    <col min="9986" max="9986" width="11" style="28" customWidth="1"/>
    <col min="9987" max="9987" width="47.5" style="28" customWidth="1"/>
    <col min="9988" max="9988" width="6.375" style="28" customWidth="1"/>
    <col min="9989" max="9989" width="10.625" style="28" customWidth="1"/>
    <col min="9990" max="9991" width="6.5" style="28" customWidth="1"/>
    <col min="9992" max="9992" width="0" style="28" hidden="1" customWidth="1"/>
    <col min="9993" max="9993" width="6.125" style="28" customWidth="1"/>
    <col min="9994" max="9995" width="8.875" style="28" customWidth="1"/>
    <col min="9996" max="9996" width="9.125" style="28" customWidth="1"/>
    <col min="9997" max="9997" width="11.5" style="28" customWidth="1"/>
    <col min="9998" max="9998" width="10.5" style="28" customWidth="1"/>
    <col min="9999" max="9999" width="25.625" style="28" customWidth="1"/>
    <col min="10000" max="10000" width="12.5" style="28" customWidth="1"/>
    <col min="10001" max="10001" width="1.5" style="28" customWidth="1"/>
    <col min="10002" max="10240" width="8" style="28"/>
    <col min="10241" max="10241" width="5.625" style="28" customWidth="1"/>
    <col min="10242" max="10242" width="11" style="28" customWidth="1"/>
    <col min="10243" max="10243" width="47.5" style="28" customWidth="1"/>
    <col min="10244" max="10244" width="6.375" style="28" customWidth="1"/>
    <col min="10245" max="10245" width="10.625" style="28" customWidth="1"/>
    <col min="10246" max="10247" width="6.5" style="28" customWidth="1"/>
    <col min="10248" max="10248" width="0" style="28" hidden="1" customWidth="1"/>
    <col min="10249" max="10249" width="6.125" style="28" customWidth="1"/>
    <col min="10250" max="10251" width="8.875" style="28" customWidth="1"/>
    <col min="10252" max="10252" width="9.125" style="28" customWidth="1"/>
    <col min="10253" max="10253" width="11.5" style="28" customWidth="1"/>
    <col min="10254" max="10254" width="10.5" style="28" customWidth="1"/>
    <col min="10255" max="10255" width="25.625" style="28" customWidth="1"/>
    <col min="10256" max="10256" width="12.5" style="28" customWidth="1"/>
    <col min="10257" max="10257" width="1.5" style="28" customWidth="1"/>
    <col min="10258" max="10496" width="8" style="28"/>
    <col min="10497" max="10497" width="5.625" style="28" customWidth="1"/>
    <col min="10498" max="10498" width="11" style="28" customWidth="1"/>
    <col min="10499" max="10499" width="47.5" style="28" customWidth="1"/>
    <col min="10500" max="10500" width="6.375" style="28" customWidth="1"/>
    <col min="10501" max="10501" width="10.625" style="28" customWidth="1"/>
    <col min="10502" max="10503" width="6.5" style="28" customWidth="1"/>
    <col min="10504" max="10504" width="0" style="28" hidden="1" customWidth="1"/>
    <col min="10505" max="10505" width="6.125" style="28" customWidth="1"/>
    <col min="10506" max="10507" width="8.875" style="28" customWidth="1"/>
    <col min="10508" max="10508" width="9.125" style="28" customWidth="1"/>
    <col min="10509" max="10509" width="11.5" style="28" customWidth="1"/>
    <col min="10510" max="10510" width="10.5" style="28" customWidth="1"/>
    <col min="10511" max="10511" width="25.625" style="28" customWidth="1"/>
    <col min="10512" max="10512" width="12.5" style="28" customWidth="1"/>
    <col min="10513" max="10513" width="1.5" style="28" customWidth="1"/>
    <col min="10514" max="10752" width="8" style="28"/>
    <col min="10753" max="10753" width="5.625" style="28" customWidth="1"/>
    <col min="10754" max="10754" width="11" style="28" customWidth="1"/>
    <col min="10755" max="10755" width="47.5" style="28" customWidth="1"/>
    <col min="10756" max="10756" width="6.375" style="28" customWidth="1"/>
    <col min="10757" max="10757" width="10.625" style="28" customWidth="1"/>
    <col min="10758" max="10759" width="6.5" style="28" customWidth="1"/>
    <col min="10760" max="10760" width="0" style="28" hidden="1" customWidth="1"/>
    <col min="10761" max="10761" width="6.125" style="28" customWidth="1"/>
    <col min="10762" max="10763" width="8.875" style="28" customWidth="1"/>
    <col min="10764" max="10764" width="9.125" style="28" customWidth="1"/>
    <col min="10765" max="10765" width="11.5" style="28" customWidth="1"/>
    <col min="10766" max="10766" width="10.5" style="28" customWidth="1"/>
    <col min="10767" max="10767" width="25.625" style="28" customWidth="1"/>
    <col min="10768" max="10768" width="12.5" style="28" customWidth="1"/>
    <col min="10769" max="10769" width="1.5" style="28" customWidth="1"/>
    <col min="10770" max="11008" width="8" style="28"/>
    <col min="11009" max="11009" width="5.625" style="28" customWidth="1"/>
    <col min="11010" max="11010" width="11" style="28" customWidth="1"/>
    <col min="11011" max="11011" width="47.5" style="28" customWidth="1"/>
    <col min="11012" max="11012" width="6.375" style="28" customWidth="1"/>
    <col min="11013" max="11013" width="10.625" style="28" customWidth="1"/>
    <col min="11014" max="11015" width="6.5" style="28" customWidth="1"/>
    <col min="11016" max="11016" width="0" style="28" hidden="1" customWidth="1"/>
    <col min="11017" max="11017" width="6.125" style="28" customWidth="1"/>
    <col min="11018" max="11019" width="8.875" style="28" customWidth="1"/>
    <col min="11020" max="11020" width="9.125" style="28" customWidth="1"/>
    <col min="11021" max="11021" width="11.5" style="28" customWidth="1"/>
    <col min="11022" max="11022" width="10.5" style="28" customWidth="1"/>
    <col min="11023" max="11023" width="25.625" style="28" customWidth="1"/>
    <col min="11024" max="11024" width="12.5" style="28" customWidth="1"/>
    <col min="11025" max="11025" width="1.5" style="28" customWidth="1"/>
    <col min="11026" max="11264" width="8" style="28"/>
    <col min="11265" max="11265" width="5.625" style="28" customWidth="1"/>
    <col min="11266" max="11266" width="11" style="28" customWidth="1"/>
    <col min="11267" max="11267" width="47.5" style="28" customWidth="1"/>
    <col min="11268" max="11268" width="6.375" style="28" customWidth="1"/>
    <col min="11269" max="11269" width="10.625" style="28" customWidth="1"/>
    <col min="11270" max="11271" width="6.5" style="28" customWidth="1"/>
    <col min="11272" max="11272" width="0" style="28" hidden="1" customWidth="1"/>
    <col min="11273" max="11273" width="6.125" style="28" customWidth="1"/>
    <col min="11274" max="11275" width="8.875" style="28" customWidth="1"/>
    <col min="11276" max="11276" width="9.125" style="28" customWidth="1"/>
    <col min="11277" max="11277" width="11.5" style="28" customWidth="1"/>
    <col min="11278" max="11278" width="10.5" style="28" customWidth="1"/>
    <col min="11279" max="11279" width="25.625" style="28" customWidth="1"/>
    <col min="11280" max="11280" width="12.5" style="28" customWidth="1"/>
    <col min="11281" max="11281" width="1.5" style="28" customWidth="1"/>
    <col min="11282" max="11520" width="8" style="28"/>
    <col min="11521" max="11521" width="5.625" style="28" customWidth="1"/>
    <col min="11522" max="11522" width="11" style="28" customWidth="1"/>
    <col min="11523" max="11523" width="47.5" style="28" customWidth="1"/>
    <col min="11524" max="11524" width="6.375" style="28" customWidth="1"/>
    <col min="11525" max="11525" width="10.625" style="28" customWidth="1"/>
    <col min="11526" max="11527" width="6.5" style="28" customWidth="1"/>
    <col min="11528" max="11528" width="0" style="28" hidden="1" customWidth="1"/>
    <col min="11529" max="11529" width="6.125" style="28" customWidth="1"/>
    <col min="11530" max="11531" width="8.875" style="28" customWidth="1"/>
    <col min="11532" max="11532" width="9.125" style="28" customWidth="1"/>
    <col min="11533" max="11533" width="11.5" style="28" customWidth="1"/>
    <col min="11534" max="11534" width="10.5" style="28" customWidth="1"/>
    <col min="11535" max="11535" width="25.625" style="28" customWidth="1"/>
    <col min="11536" max="11536" width="12.5" style="28" customWidth="1"/>
    <col min="11537" max="11537" width="1.5" style="28" customWidth="1"/>
    <col min="11538" max="11776" width="8" style="28"/>
    <col min="11777" max="11777" width="5.625" style="28" customWidth="1"/>
    <col min="11778" max="11778" width="11" style="28" customWidth="1"/>
    <col min="11779" max="11779" width="47.5" style="28" customWidth="1"/>
    <col min="11780" max="11780" width="6.375" style="28" customWidth="1"/>
    <col min="11781" max="11781" width="10.625" style="28" customWidth="1"/>
    <col min="11782" max="11783" width="6.5" style="28" customWidth="1"/>
    <col min="11784" max="11784" width="0" style="28" hidden="1" customWidth="1"/>
    <col min="11785" max="11785" width="6.125" style="28" customWidth="1"/>
    <col min="11786" max="11787" width="8.875" style="28" customWidth="1"/>
    <col min="11788" max="11788" width="9.125" style="28" customWidth="1"/>
    <col min="11789" max="11789" width="11.5" style="28" customWidth="1"/>
    <col min="11790" max="11790" width="10.5" style="28" customWidth="1"/>
    <col min="11791" max="11791" width="25.625" style="28" customWidth="1"/>
    <col min="11792" max="11792" width="12.5" style="28" customWidth="1"/>
    <col min="11793" max="11793" width="1.5" style="28" customWidth="1"/>
    <col min="11794" max="12032" width="8" style="28"/>
    <col min="12033" max="12033" width="5.625" style="28" customWidth="1"/>
    <col min="12034" max="12034" width="11" style="28" customWidth="1"/>
    <col min="12035" max="12035" width="47.5" style="28" customWidth="1"/>
    <col min="12036" max="12036" width="6.375" style="28" customWidth="1"/>
    <col min="12037" max="12037" width="10.625" style="28" customWidth="1"/>
    <col min="12038" max="12039" width="6.5" style="28" customWidth="1"/>
    <col min="12040" max="12040" width="0" style="28" hidden="1" customWidth="1"/>
    <col min="12041" max="12041" width="6.125" style="28" customWidth="1"/>
    <col min="12042" max="12043" width="8.875" style="28" customWidth="1"/>
    <col min="12044" max="12044" width="9.125" style="28" customWidth="1"/>
    <col min="12045" max="12045" width="11.5" style="28" customWidth="1"/>
    <col min="12046" max="12046" width="10.5" style="28" customWidth="1"/>
    <col min="12047" max="12047" width="25.625" style="28" customWidth="1"/>
    <col min="12048" max="12048" width="12.5" style="28" customWidth="1"/>
    <col min="12049" max="12049" width="1.5" style="28" customWidth="1"/>
    <col min="12050" max="12288" width="8" style="28"/>
    <col min="12289" max="12289" width="5.625" style="28" customWidth="1"/>
    <col min="12290" max="12290" width="11" style="28" customWidth="1"/>
    <col min="12291" max="12291" width="47.5" style="28" customWidth="1"/>
    <col min="12292" max="12292" width="6.375" style="28" customWidth="1"/>
    <col min="12293" max="12293" width="10.625" style="28" customWidth="1"/>
    <col min="12294" max="12295" width="6.5" style="28" customWidth="1"/>
    <col min="12296" max="12296" width="0" style="28" hidden="1" customWidth="1"/>
    <col min="12297" max="12297" width="6.125" style="28" customWidth="1"/>
    <col min="12298" max="12299" width="8.875" style="28" customWidth="1"/>
    <col min="12300" max="12300" width="9.125" style="28" customWidth="1"/>
    <col min="12301" max="12301" width="11.5" style="28" customWidth="1"/>
    <col min="12302" max="12302" width="10.5" style="28" customWidth="1"/>
    <col min="12303" max="12303" width="25.625" style="28" customWidth="1"/>
    <col min="12304" max="12304" width="12.5" style="28" customWidth="1"/>
    <col min="12305" max="12305" width="1.5" style="28" customWidth="1"/>
    <col min="12306" max="12544" width="8" style="28"/>
    <col min="12545" max="12545" width="5.625" style="28" customWidth="1"/>
    <col min="12546" max="12546" width="11" style="28" customWidth="1"/>
    <col min="12547" max="12547" width="47.5" style="28" customWidth="1"/>
    <col min="12548" max="12548" width="6.375" style="28" customWidth="1"/>
    <col min="12549" max="12549" width="10.625" style="28" customWidth="1"/>
    <col min="12550" max="12551" width="6.5" style="28" customWidth="1"/>
    <col min="12552" max="12552" width="0" style="28" hidden="1" customWidth="1"/>
    <col min="12553" max="12553" width="6.125" style="28" customWidth="1"/>
    <col min="12554" max="12555" width="8.875" style="28" customWidth="1"/>
    <col min="12556" max="12556" width="9.125" style="28" customWidth="1"/>
    <col min="12557" max="12557" width="11.5" style="28" customWidth="1"/>
    <col min="12558" max="12558" width="10.5" style="28" customWidth="1"/>
    <col min="12559" max="12559" width="25.625" style="28" customWidth="1"/>
    <col min="12560" max="12560" width="12.5" style="28" customWidth="1"/>
    <col min="12561" max="12561" width="1.5" style="28" customWidth="1"/>
    <col min="12562" max="12800" width="8" style="28"/>
    <col min="12801" max="12801" width="5.625" style="28" customWidth="1"/>
    <col min="12802" max="12802" width="11" style="28" customWidth="1"/>
    <col min="12803" max="12803" width="47.5" style="28" customWidth="1"/>
    <col min="12804" max="12804" width="6.375" style="28" customWidth="1"/>
    <col min="12805" max="12805" width="10.625" style="28" customWidth="1"/>
    <col min="12806" max="12807" width="6.5" style="28" customWidth="1"/>
    <col min="12808" max="12808" width="0" style="28" hidden="1" customWidth="1"/>
    <col min="12809" max="12809" width="6.125" style="28" customWidth="1"/>
    <col min="12810" max="12811" width="8.875" style="28" customWidth="1"/>
    <col min="12812" max="12812" width="9.125" style="28" customWidth="1"/>
    <col min="12813" max="12813" width="11.5" style="28" customWidth="1"/>
    <col min="12814" max="12814" width="10.5" style="28" customWidth="1"/>
    <col min="12815" max="12815" width="25.625" style="28" customWidth="1"/>
    <col min="12816" max="12816" width="12.5" style="28" customWidth="1"/>
    <col min="12817" max="12817" width="1.5" style="28" customWidth="1"/>
    <col min="12818" max="13056" width="8" style="28"/>
    <col min="13057" max="13057" width="5.625" style="28" customWidth="1"/>
    <col min="13058" max="13058" width="11" style="28" customWidth="1"/>
    <col min="13059" max="13059" width="47.5" style="28" customWidth="1"/>
    <col min="13060" max="13060" width="6.375" style="28" customWidth="1"/>
    <col min="13061" max="13061" width="10.625" style="28" customWidth="1"/>
    <col min="13062" max="13063" width="6.5" style="28" customWidth="1"/>
    <col min="13064" max="13064" width="0" style="28" hidden="1" customWidth="1"/>
    <col min="13065" max="13065" width="6.125" style="28" customWidth="1"/>
    <col min="13066" max="13067" width="8.875" style="28" customWidth="1"/>
    <col min="13068" max="13068" width="9.125" style="28" customWidth="1"/>
    <col min="13069" max="13069" width="11.5" style="28" customWidth="1"/>
    <col min="13070" max="13070" width="10.5" style="28" customWidth="1"/>
    <col min="13071" max="13071" width="25.625" style="28" customWidth="1"/>
    <col min="13072" max="13072" width="12.5" style="28" customWidth="1"/>
    <col min="13073" max="13073" width="1.5" style="28" customWidth="1"/>
    <col min="13074" max="13312" width="8" style="28"/>
    <col min="13313" max="13313" width="5.625" style="28" customWidth="1"/>
    <col min="13314" max="13314" width="11" style="28" customWidth="1"/>
    <col min="13315" max="13315" width="47.5" style="28" customWidth="1"/>
    <col min="13316" max="13316" width="6.375" style="28" customWidth="1"/>
    <col min="13317" max="13317" width="10.625" style="28" customWidth="1"/>
    <col min="13318" max="13319" width="6.5" style="28" customWidth="1"/>
    <col min="13320" max="13320" width="0" style="28" hidden="1" customWidth="1"/>
    <col min="13321" max="13321" width="6.125" style="28" customWidth="1"/>
    <col min="13322" max="13323" width="8.875" style="28" customWidth="1"/>
    <col min="13324" max="13324" width="9.125" style="28" customWidth="1"/>
    <col min="13325" max="13325" width="11.5" style="28" customWidth="1"/>
    <col min="13326" max="13326" width="10.5" style="28" customWidth="1"/>
    <col min="13327" max="13327" width="25.625" style="28" customWidth="1"/>
    <col min="13328" max="13328" width="12.5" style="28" customWidth="1"/>
    <col min="13329" max="13329" width="1.5" style="28" customWidth="1"/>
    <col min="13330" max="13568" width="8" style="28"/>
    <col min="13569" max="13569" width="5.625" style="28" customWidth="1"/>
    <col min="13570" max="13570" width="11" style="28" customWidth="1"/>
    <col min="13571" max="13571" width="47.5" style="28" customWidth="1"/>
    <col min="13572" max="13572" width="6.375" style="28" customWidth="1"/>
    <col min="13573" max="13573" width="10.625" style="28" customWidth="1"/>
    <col min="13574" max="13575" width="6.5" style="28" customWidth="1"/>
    <col min="13576" max="13576" width="0" style="28" hidden="1" customWidth="1"/>
    <col min="13577" max="13577" width="6.125" style="28" customWidth="1"/>
    <col min="13578" max="13579" width="8.875" style="28" customWidth="1"/>
    <col min="13580" max="13580" width="9.125" style="28" customWidth="1"/>
    <col min="13581" max="13581" width="11.5" style="28" customWidth="1"/>
    <col min="13582" max="13582" width="10.5" style="28" customWidth="1"/>
    <col min="13583" max="13583" width="25.625" style="28" customWidth="1"/>
    <col min="13584" max="13584" width="12.5" style="28" customWidth="1"/>
    <col min="13585" max="13585" width="1.5" style="28" customWidth="1"/>
    <col min="13586" max="13824" width="8" style="28"/>
    <col min="13825" max="13825" width="5.625" style="28" customWidth="1"/>
    <col min="13826" max="13826" width="11" style="28" customWidth="1"/>
    <col min="13827" max="13827" width="47.5" style="28" customWidth="1"/>
    <col min="13828" max="13828" width="6.375" style="28" customWidth="1"/>
    <col min="13829" max="13829" width="10.625" style="28" customWidth="1"/>
    <col min="13830" max="13831" width="6.5" style="28" customWidth="1"/>
    <col min="13832" max="13832" width="0" style="28" hidden="1" customWidth="1"/>
    <col min="13833" max="13833" width="6.125" style="28" customWidth="1"/>
    <col min="13834" max="13835" width="8.875" style="28" customWidth="1"/>
    <col min="13836" max="13836" width="9.125" style="28" customWidth="1"/>
    <col min="13837" max="13837" width="11.5" style="28" customWidth="1"/>
    <col min="13838" max="13838" width="10.5" style="28" customWidth="1"/>
    <col min="13839" max="13839" width="25.625" style="28" customWidth="1"/>
    <col min="13840" max="13840" width="12.5" style="28" customWidth="1"/>
    <col min="13841" max="13841" width="1.5" style="28" customWidth="1"/>
    <col min="13842" max="14080" width="8" style="28"/>
    <col min="14081" max="14081" width="5.625" style="28" customWidth="1"/>
    <col min="14082" max="14082" width="11" style="28" customWidth="1"/>
    <col min="14083" max="14083" width="47.5" style="28" customWidth="1"/>
    <col min="14084" max="14084" width="6.375" style="28" customWidth="1"/>
    <col min="14085" max="14085" width="10.625" style="28" customWidth="1"/>
    <col min="14086" max="14087" width="6.5" style="28" customWidth="1"/>
    <col min="14088" max="14088" width="0" style="28" hidden="1" customWidth="1"/>
    <col min="14089" max="14089" width="6.125" style="28" customWidth="1"/>
    <col min="14090" max="14091" width="8.875" style="28" customWidth="1"/>
    <col min="14092" max="14092" width="9.125" style="28" customWidth="1"/>
    <col min="14093" max="14093" width="11.5" style="28" customWidth="1"/>
    <col min="14094" max="14094" width="10.5" style="28" customWidth="1"/>
    <col min="14095" max="14095" width="25.625" style="28" customWidth="1"/>
    <col min="14096" max="14096" width="12.5" style="28" customWidth="1"/>
    <col min="14097" max="14097" width="1.5" style="28" customWidth="1"/>
    <col min="14098" max="14336" width="8" style="28"/>
    <col min="14337" max="14337" width="5.625" style="28" customWidth="1"/>
    <col min="14338" max="14338" width="11" style="28" customWidth="1"/>
    <col min="14339" max="14339" width="47.5" style="28" customWidth="1"/>
    <col min="14340" max="14340" width="6.375" style="28" customWidth="1"/>
    <col min="14341" max="14341" width="10.625" style="28" customWidth="1"/>
    <col min="14342" max="14343" width="6.5" style="28" customWidth="1"/>
    <col min="14344" max="14344" width="0" style="28" hidden="1" customWidth="1"/>
    <col min="14345" max="14345" width="6.125" style="28" customWidth="1"/>
    <col min="14346" max="14347" width="8.875" style="28" customWidth="1"/>
    <col min="14348" max="14348" width="9.125" style="28" customWidth="1"/>
    <col min="14349" max="14349" width="11.5" style="28" customWidth="1"/>
    <col min="14350" max="14350" width="10.5" style="28" customWidth="1"/>
    <col min="14351" max="14351" width="25.625" style="28" customWidth="1"/>
    <col min="14352" max="14352" width="12.5" style="28" customWidth="1"/>
    <col min="14353" max="14353" width="1.5" style="28" customWidth="1"/>
    <col min="14354" max="14592" width="8" style="28"/>
    <col min="14593" max="14593" width="5.625" style="28" customWidth="1"/>
    <col min="14594" max="14594" width="11" style="28" customWidth="1"/>
    <col min="14595" max="14595" width="47.5" style="28" customWidth="1"/>
    <col min="14596" max="14596" width="6.375" style="28" customWidth="1"/>
    <col min="14597" max="14597" width="10.625" style="28" customWidth="1"/>
    <col min="14598" max="14599" width="6.5" style="28" customWidth="1"/>
    <col min="14600" max="14600" width="0" style="28" hidden="1" customWidth="1"/>
    <col min="14601" max="14601" width="6.125" style="28" customWidth="1"/>
    <col min="14602" max="14603" width="8.875" style="28" customWidth="1"/>
    <col min="14604" max="14604" width="9.125" style="28" customWidth="1"/>
    <col min="14605" max="14605" width="11.5" style="28" customWidth="1"/>
    <col min="14606" max="14606" width="10.5" style="28" customWidth="1"/>
    <col min="14607" max="14607" width="25.625" style="28" customWidth="1"/>
    <col min="14608" max="14608" width="12.5" style="28" customWidth="1"/>
    <col min="14609" max="14609" width="1.5" style="28" customWidth="1"/>
    <col min="14610" max="14848" width="8" style="28"/>
    <col min="14849" max="14849" width="5.625" style="28" customWidth="1"/>
    <col min="14850" max="14850" width="11" style="28" customWidth="1"/>
    <col min="14851" max="14851" width="47.5" style="28" customWidth="1"/>
    <col min="14852" max="14852" width="6.375" style="28" customWidth="1"/>
    <col min="14853" max="14853" width="10.625" style="28" customWidth="1"/>
    <col min="14854" max="14855" width="6.5" style="28" customWidth="1"/>
    <col min="14856" max="14856" width="0" style="28" hidden="1" customWidth="1"/>
    <col min="14857" max="14857" width="6.125" style="28" customWidth="1"/>
    <col min="14858" max="14859" width="8.875" style="28" customWidth="1"/>
    <col min="14860" max="14860" width="9.125" style="28" customWidth="1"/>
    <col min="14861" max="14861" width="11.5" style="28" customWidth="1"/>
    <col min="14862" max="14862" width="10.5" style="28" customWidth="1"/>
    <col min="14863" max="14863" width="25.625" style="28" customWidth="1"/>
    <col min="14864" max="14864" width="12.5" style="28" customWidth="1"/>
    <col min="14865" max="14865" width="1.5" style="28" customWidth="1"/>
    <col min="14866" max="15104" width="8" style="28"/>
    <col min="15105" max="15105" width="5.625" style="28" customWidth="1"/>
    <col min="15106" max="15106" width="11" style="28" customWidth="1"/>
    <col min="15107" max="15107" width="47.5" style="28" customWidth="1"/>
    <col min="15108" max="15108" width="6.375" style="28" customWidth="1"/>
    <col min="15109" max="15109" width="10.625" style="28" customWidth="1"/>
    <col min="15110" max="15111" width="6.5" style="28" customWidth="1"/>
    <col min="15112" max="15112" width="0" style="28" hidden="1" customWidth="1"/>
    <col min="15113" max="15113" width="6.125" style="28" customWidth="1"/>
    <col min="15114" max="15115" width="8.875" style="28" customWidth="1"/>
    <col min="15116" max="15116" width="9.125" style="28" customWidth="1"/>
    <col min="15117" max="15117" width="11.5" style="28" customWidth="1"/>
    <col min="15118" max="15118" width="10.5" style="28" customWidth="1"/>
    <col min="15119" max="15119" width="25.625" style="28" customWidth="1"/>
    <col min="15120" max="15120" width="12.5" style="28" customWidth="1"/>
    <col min="15121" max="15121" width="1.5" style="28" customWidth="1"/>
    <col min="15122" max="15360" width="8" style="28"/>
    <col min="15361" max="15361" width="5.625" style="28" customWidth="1"/>
    <col min="15362" max="15362" width="11" style="28" customWidth="1"/>
    <col min="15363" max="15363" width="47.5" style="28" customWidth="1"/>
    <col min="15364" max="15364" width="6.375" style="28" customWidth="1"/>
    <col min="15365" max="15365" width="10.625" style="28" customWidth="1"/>
    <col min="15366" max="15367" width="6.5" style="28" customWidth="1"/>
    <col min="15368" max="15368" width="0" style="28" hidden="1" customWidth="1"/>
    <col min="15369" max="15369" width="6.125" style="28" customWidth="1"/>
    <col min="15370" max="15371" width="8.875" style="28" customWidth="1"/>
    <col min="15372" max="15372" width="9.125" style="28" customWidth="1"/>
    <col min="15373" max="15373" width="11.5" style="28" customWidth="1"/>
    <col min="15374" max="15374" width="10.5" style="28" customWidth="1"/>
    <col min="15375" max="15375" width="25.625" style="28" customWidth="1"/>
    <col min="15376" max="15376" width="12.5" style="28" customWidth="1"/>
    <col min="15377" max="15377" width="1.5" style="28" customWidth="1"/>
    <col min="15378" max="15616" width="8" style="28"/>
    <col min="15617" max="15617" width="5.625" style="28" customWidth="1"/>
    <col min="15618" max="15618" width="11" style="28" customWidth="1"/>
    <col min="15619" max="15619" width="47.5" style="28" customWidth="1"/>
    <col min="15620" max="15620" width="6.375" style="28" customWidth="1"/>
    <col min="15621" max="15621" width="10.625" style="28" customWidth="1"/>
    <col min="15622" max="15623" width="6.5" style="28" customWidth="1"/>
    <col min="15624" max="15624" width="0" style="28" hidden="1" customWidth="1"/>
    <col min="15625" max="15625" width="6.125" style="28" customWidth="1"/>
    <col min="15626" max="15627" width="8.875" style="28" customWidth="1"/>
    <col min="15628" max="15628" width="9.125" style="28" customWidth="1"/>
    <col min="15629" max="15629" width="11.5" style="28" customWidth="1"/>
    <col min="15630" max="15630" width="10.5" style="28" customWidth="1"/>
    <col min="15631" max="15631" width="25.625" style="28" customWidth="1"/>
    <col min="15632" max="15632" width="12.5" style="28" customWidth="1"/>
    <col min="15633" max="15633" width="1.5" style="28" customWidth="1"/>
    <col min="15634" max="15872" width="8" style="28"/>
    <col min="15873" max="15873" width="5.625" style="28" customWidth="1"/>
    <col min="15874" max="15874" width="11" style="28" customWidth="1"/>
    <col min="15875" max="15875" width="47.5" style="28" customWidth="1"/>
    <col min="15876" max="15876" width="6.375" style="28" customWidth="1"/>
    <col min="15877" max="15877" width="10.625" style="28" customWidth="1"/>
    <col min="15878" max="15879" width="6.5" style="28" customWidth="1"/>
    <col min="15880" max="15880" width="0" style="28" hidden="1" customWidth="1"/>
    <col min="15881" max="15881" width="6.125" style="28" customWidth="1"/>
    <col min="15882" max="15883" width="8.875" style="28" customWidth="1"/>
    <col min="15884" max="15884" width="9.125" style="28" customWidth="1"/>
    <col min="15885" max="15885" width="11.5" style="28" customWidth="1"/>
    <col min="15886" max="15886" width="10.5" style="28" customWidth="1"/>
    <col min="15887" max="15887" width="25.625" style="28" customWidth="1"/>
    <col min="15888" max="15888" width="12.5" style="28" customWidth="1"/>
    <col min="15889" max="15889" width="1.5" style="28" customWidth="1"/>
    <col min="15890" max="16128" width="8" style="28"/>
    <col min="16129" max="16129" width="5.625" style="28" customWidth="1"/>
    <col min="16130" max="16130" width="11" style="28" customWidth="1"/>
    <col min="16131" max="16131" width="47.5" style="28" customWidth="1"/>
    <col min="16132" max="16132" width="6.375" style="28" customWidth="1"/>
    <col min="16133" max="16133" width="10.625" style="28" customWidth="1"/>
    <col min="16134" max="16135" width="6.5" style="28" customWidth="1"/>
    <col min="16136" max="16136" width="0" style="28" hidden="1" customWidth="1"/>
    <col min="16137" max="16137" width="6.125" style="28" customWidth="1"/>
    <col min="16138" max="16139" width="8.875" style="28" customWidth="1"/>
    <col min="16140" max="16140" width="9.125" style="28" customWidth="1"/>
    <col min="16141" max="16141" width="11.5" style="28" customWidth="1"/>
    <col min="16142" max="16142" width="10.5" style="28" customWidth="1"/>
    <col min="16143" max="16143" width="25.625" style="28" customWidth="1"/>
    <col min="16144" max="16144" width="12.5" style="28" customWidth="1"/>
    <col min="16145" max="16145" width="1.5" style="28" customWidth="1"/>
    <col min="16146" max="16384" width="8" style="28"/>
  </cols>
  <sheetData>
    <row r="1" spans="1:31" ht="20.25" x14ac:dyDescent="0.3">
      <c r="A1" s="429" t="s">
        <v>107</v>
      </c>
      <c r="B1" s="429"/>
      <c r="C1" s="429"/>
      <c r="D1" s="220"/>
      <c r="E1" s="220"/>
      <c r="F1" s="23"/>
      <c r="G1" s="425" t="s">
        <v>42</v>
      </c>
      <c r="H1" s="425"/>
      <c r="I1" s="425"/>
      <c r="J1" s="425"/>
      <c r="K1" s="425"/>
      <c r="L1" s="425"/>
      <c r="M1" s="425"/>
      <c r="N1" s="425"/>
      <c r="O1" s="425"/>
      <c r="P1" s="221"/>
      <c r="Q1" s="27"/>
      <c r="R1" s="27"/>
      <c r="S1" s="27"/>
      <c r="T1" s="27"/>
    </row>
    <row r="2" spans="1:31" ht="20.25" x14ac:dyDescent="0.3">
      <c r="A2" s="429" t="s">
        <v>108</v>
      </c>
      <c r="B2" s="429"/>
      <c r="C2" s="429"/>
      <c r="D2" s="220"/>
      <c r="E2" s="220"/>
      <c r="F2" s="23"/>
      <c r="G2" s="425" t="s">
        <v>43</v>
      </c>
      <c r="H2" s="425"/>
      <c r="I2" s="425"/>
      <c r="J2" s="425"/>
      <c r="K2" s="425"/>
      <c r="L2" s="425"/>
      <c r="M2" s="425"/>
      <c r="N2" s="425"/>
      <c r="O2" s="425"/>
      <c r="P2" s="221"/>
      <c r="Q2" s="27"/>
      <c r="R2" s="27"/>
      <c r="S2" s="27"/>
      <c r="T2" s="27"/>
    </row>
    <row r="3" spans="1:31" ht="20.25" x14ac:dyDescent="0.3">
      <c r="A3" s="425" t="s">
        <v>0</v>
      </c>
      <c r="B3" s="425"/>
      <c r="C3" s="425"/>
      <c r="D3" s="221"/>
      <c r="E3" s="221"/>
      <c r="F3" s="23"/>
      <c r="G3" s="23"/>
      <c r="H3" s="23"/>
      <c r="I3" s="23"/>
      <c r="J3" s="23"/>
      <c r="K3" s="25"/>
      <c r="L3" s="25"/>
      <c r="M3" s="79"/>
      <c r="N3" s="79"/>
      <c r="O3" s="79"/>
      <c r="P3" s="79"/>
      <c r="Q3" s="80"/>
      <c r="R3" s="80"/>
      <c r="S3" s="80"/>
      <c r="T3" s="80"/>
    </row>
    <row r="4" spans="1:31" ht="25.5" x14ac:dyDescent="0.35">
      <c r="A4" s="23"/>
      <c r="B4" s="31"/>
      <c r="D4" s="221"/>
      <c r="E4" s="221"/>
      <c r="G4" s="430" t="s">
        <v>282</v>
      </c>
      <c r="H4" s="430"/>
      <c r="I4" s="430"/>
      <c r="J4" s="430"/>
      <c r="K4" s="430"/>
      <c r="L4" s="430"/>
      <c r="M4" s="430"/>
      <c r="N4" s="430"/>
      <c r="O4" s="430"/>
      <c r="P4" s="81"/>
      <c r="Q4" s="80"/>
      <c r="R4" s="80"/>
      <c r="S4" s="80"/>
      <c r="T4" s="80"/>
    </row>
    <row r="5" spans="1:31" ht="25.5" x14ac:dyDescent="0.35">
      <c r="A5" s="23"/>
      <c r="B5" s="31"/>
      <c r="D5" s="221"/>
      <c r="E5" s="221"/>
      <c r="F5" s="59"/>
      <c r="G5" s="59"/>
      <c r="H5" s="59"/>
      <c r="I5" s="59"/>
      <c r="J5" s="59"/>
      <c r="K5" s="59"/>
      <c r="L5" s="59"/>
      <c r="M5" s="59"/>
      <c r="N5" s="59"/>
      <c r="O5" s="59"/>
      <c r="P5" s="59"/>
      <c r="Q5" s="80"/>
      <c r="R5" s="80"/>
      <c r="S5" s="80"/>
      <c r="T5" s="80"/>
    </row>
    <row r="6" spans="1:31" ht="25.5" x14ac:dyDescent="0.35">
      <c r="A6" s="431" t="s">
        <v>44</v>
      </c>
      <c r="B6" s="431"/>
      <c r="C6" s="431"/>
      <c r="D6" s="431"/>
      <c r="E6" s="431"/>
      <c r="F6" s="431"/>
      <c r="G6" s="431"/>
      <c r="H6" s="431"/>
      <c r="I6" s="431"/>
      <c r="J6" s="431"/>
      <c r="K6" s="431"/>
      <c r="L6" s="431"/>
      <c r="M6" s="431"/>
      <c r="N6" s="431"/>
      <c r="O6" s="431"/>
      <c r="P6" s="431"/>
      <c r="Q6" s="82"/>
      <c r="R6" s="82"/>
      <c r="S6" s="82"/>
      <c r="T6" s="82"/>
      <c r="U6" s="82"/>
      <c r="V6" s="82"/>
      <c r="W6" s="82"/>
      <c r="X6" s="82"/>
      <c r="Y6" s="82"/>
      <c r="Z6" s="82"/>
      <c r="AA6" s="82"/>
      <c r="AB6" s="82"/>
      <c r="AC6" s="82"/>
      <c r="AD6" s="82"/>
      <c r="AE6" s="82"/>
    </row>
    <row r="7" spans="1:31" ht="21.75" x14ac:dyDescent="0.3">
      <c r="A7" s="433" t="s">
        <v>301</v>
      </c>
      <c r="B7" s="433"/>
      <c r="C7" s="433"/>
      <c r="D7" s="433"/>
      <c r="E7" s="433"/>
      <c r="F7" s="433"/>
      <c r="G7" s="433"/>
      <c r="H7" s="433"/>
      <c r="I7" s="433"/>
      <c r="J7" s="433"/>
      <c r="K7" s="433"/>
      <c r="L7" s="433"/>
      <c r="M7" s="433"/>
      <c r="N7" s="433"/>
      <c r="O7" s="433"/>
      <c r="P7" s="433"/>
      <c r="Q7" s="82"/>
      <c r="R7" s="82"/>
      <c r="S7" s="82"/>
      <c r="T7" s="82"/>
      <c r="U7" s="82"/>
      <c r="V7" s="82"/>
      <c r="W7" s="82"/>
      <c r="X7" s="82"/>
      <c r="Y7" s="82"/>
      <c r="Z7" s="82"/>
      <c r="AA7" s="82"/>
      <c r="AB7" s="82"/>
      <c r="AC7" s="82"/>
      <c r="AD7" s="82"/>
      <c r="AE7" s="82"/>
    </row>
    <row r="8" spans="1:31" ht="24" customHeight="1" x14ac:dyDescent="0.3">
      <c r="A8" s="436" t="s">
        <v>302</v>
      </c>
      <c r="B8" s="436"/>
      <c r="C8" s="436"/>
      <c r="D8" s="436"/>
      <c r="E8" s="436"/>
      <c r="F8" s="436"/>
      <c r="G8" s="436"/>
      <c r="H8" s="436"/>
      <c r="I8" s="436"/>
      <c r="J8" s="436"/>
      <c r="K8" s="436"/>
      <c r="L8" s="436"/>
      <c r="M8" s="436"/>
      <c r="N8" s="436"/>
      <c r="O8" s="436"/>
      <c r="P8" s="436"/>
      <c r="Q8" s="83"/>
      <c r="R8" s="83"/>
      <c r="S8" s="83"/>
      <c r="T8" s="83"/>
      <c r="U8" s="83"/>
      <c r="V8" s="83"/>
      <c r="W8" s="83"/>
      <c r="X8" s="83"/>
      <c r="Y8" s="83"/>
      <c r="Z8" s="83"/>
      <c r="AA8" s="83"/>
      <c r="AB8" s="83"/>
      <c r="AC8" s="83"/>
      <c r="AD8" s="83"/>
      <c r="AE8" s="83"/>
    </row>
    <row r="9" spans="1:31" ht="22.5" x14ac:dyDescent="0.3">
      <c r="A9" s="42"/>
      <c r="B9" s="84"/>
      <c r="C9" s="42"/>
      <c r="D9" s="84"/>
      <c r="E9" s="42"/>
      <c r="F9" s="84"/>
      <c r="G9" s="42"/>
      <c r="H9" s="84"/>
      <c r="I9" s="42"/>
      <c r="J9" s="84"/>
      <c r="K9" s="42"/>
      <c r="L9" s="84"/>
      <c r="M9" s="42"/>
      <c r="N9" s="84"/>
      <c r="O9" s="42"/>
      <c r="P9" s="84"/>
      <c r="Q9" s="83"/>
      <c r="R9" s="83"/>
      <c r="S9" s="83"/>
      <c r="T9" s="83"/>
      <c r="U9" s="83"/>
      <c r="V9" s="83"/>
      <c r="W9" s="83"/>
      <c r="X9" s="83"/>
      <c r="Y9" s="83"/>
      <c r="Z9" s="83"/>
      <c r="AA9" s="83"/>
      <c r="AB9" s="83"/>
      <c r="AC9" s="83"/>
      <c r="AD9" s="83"/>
      <c r="AE9" s="83"/>
    </row>
    <row r="10" spans="1:31" ht="27.75" customHeight="1" x14ac:dyDescent="0.2">
      <c r="A10" s="437" t="s">
        <v>2</v>
      </c>
      <c r="B10" s="437" t="s">
        <v>13</v>
      </c>
      <c r="C10" s="437" t="s">
        <v>7</v>
      </c>
      <c r="D10" s="434" t="s">
        <v>45</v>
      </c>
      <c r="E10" s="434" t="s">
        <v>56</v>
      </c>
      <c r="F10" s="439" t="s">
        <v>46</v>
      </c>
      <c r="G10" s="440"/>
      <c r="H10" s="440"/>
      <c r="I10" s="441"/>
      <c r="J10" s="434" t="s">
        <v>65</v>
      </c>
      <c r="K10" s="434" t="s">
        <v>47</v>
      </c>
      <c r="L10" s="434" t="s">
        <v>48</v>
      </c>
      <c r="M10" s="434" t="s">
        <v>49</v>
      </c>
      <c r="N10" s="434" t="s">
        <v>5</v>
      </c>
      <c r="O10" s="434" t="s">
        <v>50</v>
      </c>
      <c r="P10" s="434" t="s">
        <v>64</v>
      </c>
    </row>
    <row r="11" spans="1:31" ht="39.75" customHeight="1" x14ac:dyDescent="0.2">
      <c r="A11" s="438"/>
      <c r="B11" s="438"/>
      <c r="C11" s="438"/>
      <c r="D11" s="435"/>
      <c r="E11" s="435"/>
      <c r="F11" s="87" t="s">
        <v>51</v>
      </c>
      <c r="G11" s="87" t="s">
        <v>52</v>
      </c>
      <c r="H11" s="88"/>
      <c r="I11" s="89" t="s">
        <v>11</v>
      </c>
      <c r="J11" s="438"/>
      <c r="K11" s="435"/>
      <c r="L11" s="435"/>
      <c r="M11" s="435"/>
      <c r="N11" s="435"/>
      <c r="O11" s="435"/>
      <c r="P11" s="438"/>
    </row>
    <row r="12" spans="1:31" ht="27" customHeight="1" x14ac:dyDescent="0.2">
      <c r="A12" s="417">
        <v>1</v>
      </c>
      <c r="B12" s="417">
        <v>841110</v>
      </c>
      <c r="C12" s="427" t="s">
        <v>150</v>
      </c>
      <c r="D12" s="411">
        <v>4</v>
      </c>
      <c r="E12" s="411" t="s">
        <v>283</v>
      </c>
      <c r="F12" s="417">
        <v>45</v>
      </c>
      <c r="G12" s="417">
        <v>30</v>
      </c>
      <c r="H12" s="222"/>
      <c r="I12" s="411">
        <v>75</v>
      </c>
      <c r="J12" s="411">
        <v>0.8</v>
      </c>
      <c r="K12" s="411">
        <v>1</v>
      </c>
      <c r="L12" s="411">
        <v>30</v>
      </c>
      <c r="M12" s="222"/>
      <c r="N12" s="222"/>
      <c r="O12" s="222" t="s">
        <v>250</v>
      </c>
      <c r="P12" s="223"/>
    </row>
    <row r="13" spans="1:31" ht="27" customHeight="1" x14ac:dyDescent="0.2">
      <c r="A13" s="418"/>
      <c r="B13" s="419"/>
      <c r="C13" s="432"/>
      <c r="D13" s="412"/>
      <c r="E13" s="412"/>
      <c r="F13" s="418"/>
      <c r="G13" s="418"/>
      <c r="H13" s="173"/>
      <c r="I13" s="416"/>
      <c r="J13" s="412"/>
      <c r="K13" s="416"/>
      <c r="L13" s="416"/>
      <c r="M13" s="173"/>
      <c r="N13" s="173"/>
      <c r="O13" s="173"/>
      <c r="P13" s="174"/>
    </row>
    <row r="14" spans="1:31" ht="27" customHeight="1" x14ac:dyDescent="0.2">
      <c r="A14" s="417">
        <v>2</v>
      </c>
      <c r="B14" s="417">
        <v>848011</v>
      </c>
      <c r="C14" s="420" t="s">
        <v>151</v>
      </c>
      <c r="D14" s="411">
        <v>4</v>
      </c>
      <c r="E14" s="411" t="s">
        <v>284</v>
      </c>
      <c r="F14" s="417">
        <v>30</v>
      </c>
      <c r="G14" s="417">
        <v>30</v>
      </c>
      <c r="H14" s="222"/>
      <c r="I14" s="411">
        <v>60</v>
      </c>
      <c r="J14" s="411">
        <v>1</v>
      </c>
      <c r="K14" s="409">
        <v>1</v>
      </c>
      <c r="L14" s="411">
        <v>80</v>
      </c>
      <c r="M14" s="222">
        <v>10933</v>
      </c>
      <c r="N14" s="222" t="s">
        <v>359</v>
      </c>
      <c r="O14" s="222" t="s">
        <v>193</v>
      </c>
      <c r="P14" s="223">
        <v>60</v>
      </c>
    </row>
    <row r="15" spans="1:31" ht="27" customHeight="1" x14ac:dyDescent="0.2">
      <c r="A15" s="418"/>
      <c r="B15" s="419"/>
      <c r="C15" s="421"/>
      <c r="D15" s="412"/>
      <c r="E15" s="412"/>
      <c r="F15" s="418"/>
      <c r="G15" s="418"/>
      <c r="H15" s="173"/>
      <c r="I15" s="416"/>
      <c r="J15" s="412"/>
      <c r="K15" s="415"/>
      <c r="L15" s="416"/>
      <c r="M15" s="173"/>
      <c r="N15" s="173"/>
      <c r="O15" s="173"/>
      <c r="P15" s="174"/>
    </row>
    <row r="16" spans="1:31" ht="27" customHeight="1" x14ac:dyDescent="0.2">
      <c r="A16" s="417">
        <v>2</v>
      </c>
      <c r="B16" s="417">
        <v>848011</v>
      </c>
      <c r="C16" s="420" t="s">
        <v>151</v>
      </c>
      <c r="D16" s="411">
        <v>4</v>
      </c>
      <c r="E16" s="411" t="s">
        <v>284</v>
      </c>
      <c r="F16" s="417">
        <v>30</v>
      </c>
      <c r="G16" s="417">
        <v>30</v>
      </c>
      <c r="H16" s="222"/>
      <c r="I16" s="411">
        <v>60</v>
      </c>
      <c r="J16" s="411">
        <v>1</v>
      </c>
      <c r="K16" s="409">
        <v>1</v>
      </c>
      <c r="L16" s="411">
        <v>80</v>
      </c>
      <c r="M16" s="222">
        <v>10933</v>
      </c>
      <c r="N16" s="222" t="s">
        <v>359</v>
      </c>
      <c r="O16" s="222" t="s">
        <v>193</v>
      </c>
      <c r="P16" s="223">
        <v>60</v>
      </c>
    </row>
    <row r="17" spans="1:16" ht="27" customHeight="1" x14ac:dyDescent="0.2">
      <c r="A17" s="418"/>
      <c r="B17" s="419"/>
      <c r="C17" s="421"/>
      <c r="D17" s="412"/>
      <c r="E17" s="412"/>
      <c r="F17" s="418"/>
      <c r="G17" s="418"/>
      <c r="H17" s="173"/>
      <c r="I17" s="416"/>
      <c r="J17" s="412"/>
      <c r="K17" s="415"/>
      <c r="L17" s="416"/>
      <c r="M17" s="173"/>
      <c r="N17" s="173"/>
      <c r="O17" s="173"/>
      <c r="P17" s="174"/>
    </row>
    <row r="18" spans="1:16" ht="27" customHeight="1" x14ac:dyDescent="0.2">
      <c r="A18" s="417">
        <v>3</v>
      </c>
      <c r="B18" s="417">
        <v>841050</v>
      </c>
      <c r="C18" s="427" t="s">
        <v>285</v>
      </c>
      <c r="D18" s="411">
        <v>3</v>
      </c>
      <c r="E18" s="411" t="s">
        <v>283</v>
      </c>
      <c r="F18" s="417">
        <v>30</v>
      </c>
      <c r="G18" s="417">
        <v>30</v>
      </c>
      <c r="H18" s="222"/>
      <c r="I18" s="411">
        <v>60</v>
      </c>
      <c r="J18" s="411">
        <v>0.75</v>
      </c>
      <c r="K18" s="411">
        <v>1</v>
      </c>
      <c r="L18" s="411">
        <v>30</v>
      </c>
      <c r="M18" s="222"/>
      <c r="N18" s="222"/>
      <c r="O18" s="222" t="s">
        <v>250</v>
      </c>
      <c r="P18" s="223"/>
    </row>
    <row r="19" spans="1:16" ht="27" customHeight="1" x14ac:dyDescent="0.2">
      <c r="A19" s="418"/>
      <c r="B19" s="418"/>
      <c r="C19" s="428"/>
      <c r="D19" s="416"/>
      <c r="E19" s="412"/>
      <c r="F19" s="418"/>
      <c r="G19" s="418"/>
      <c r="H19" s="173"/>
      <c r="I19" s="416"/>
      <c r="J19" s="412"/>
      <c r="K19" s="416"/>
      <c r="L19" s="416"/>
      <c r="M19" s="173"/>
      <c r="N19" s="173"/>
      <c r="O19" s="173"/>
      <c r="P19" s="174"/>
    </row>
    <row r="20" spans="1:16" ht="27" customHeight="1" x14ac:dyDescent="0.2">
      <c r="A20" s="417">
        <v>4</v>
      </c>
      <c r="B20" s="417">
        <v>848109</v>
      </c>
      <c r="C20" s="443" t="s">
        <v>152</v>
      </c>
      <c r="D20" s="411">
        <v>4</v>
      </c>
      <c r="E20" s="411" t="s">
        <v>283</v>
      </c>
      <c r="F20" s="417">
        <v>45</v>
      </c>
      <c r="G20" s="417">
        <v>15</v>
      </c>
      <c r="H20" s="222"/>
      <c r="I20" s="411">
        <v>60</v>
      </c>
      <c r="J20" s="411">
        <v>1</v>
      </c>
      <c r="K20" s="411">
        <v>1</v>
      </c>
      <c r="L20" s="411">
        <v>30</v>
      </c>
      <c r="M20" s="222">
        <v>11107</v>
      </c>
      <c r="N20" s="222" t="s">
        <v>359</v>
      </c>
      <c r="O20" s="222" t="s">
        <v>177</v>
      </c>
      <c r="P20" s="223">
        <v>60</v>
      </c>
    </row>
    <row r="21" spans="1:16" ht="27" customHeight="1" x14ac:dyDescent="0.2">
      <c r="A21" s="419"/>
      <c r="B21" s="442"/>
      <c r="C21" s="444"/>
      <c r="D21" s="422"/>
      <c r="E21" s="412"/>
      <c r="F21" s="419"/>
      <c r="G21" s="419"/>
      <c r="H21" s="224"/>
      <c r="I21" s="412"/>
      <c r="J21" s="412"/>
      <c r="K21" s="412"/>
      <c r="L21" s="412"/>
      <c r="M21" s="224"/>
      <c r="N21" s="224"/>
      <c r="O21" s="224"/>
      <c r="P21" s="225"/>
    </row>
    <row r="22" spans="1:16" ht="27" customHeight="1" x14ac:dyDescent="0.2">
      <c r="A22" s="445">
        <v>5</v>
      </c>
      <c r="B22" s="426">
        <v>848039</v>
      </c>
      <c r="C22" s="423" t="s">
        <v>153</v>
      </c>
      <c r="D22" s="426">
        <v>3</v>
      </c>
      <c r="E22" s="411" t="s">
        <v>283</v>
      </c>
      <c r="F22" s="417">
        <v>30</v>
      </c>
      <c r="G22" s="417">
        <v>15</v>
      </c>
      <c r="H22" s="251"/>
      <c r="I22" s="411">
        <v>45</v>
      </c>
      <c r="J22" s="411">
        <v>1</v>
      </c>
      <c r="K22" s="411">
        <v>1</v>
      </c>
      <c r="L22" s="411">
        <v>50</v>
      </c>
      <c r="M22" s="222">
        <v>11072</v>
      </c>
      <c r="N22" s="256" t="s">
        <v>363</v>
      </c>
      <c r="O22" s="222" t="s">
        <v>183</v>
      </c>
      <c r="P22" s="222">
        <v>45</v>
      </c>
    </row>
    <row r="23" spans="1:16" ht="27" customHeight="1" x14ac:dyDescent="0.2">
      <c r="A23" s="446"/>
      <c r="B23" s="426"/>
      <c r="C23" s="423"/>
      <c r="D23" s="426"/>
      <c r="E23" s="412"/>
      <c r="F23" s="419"/>
      <c r="G23" s="419"/>
      <c r="H23" s="251"/>
      <c r="I23" s="412"/>
      <c r="J23" s="412"/>
      <c r="K23" s="412"/>
      <c r="L23" s="412"/>
      <c r="M23" s="173"/>
      <c r="N23" s="173"/>
      <c r="O23" s="173"/>
      <c r="P23" s="173"/>
    </row>
    <row r="24" spans="1:16" ht="27" customHeight="1" x14ac:dyDescent="0.2">
      <c r="A24" s="445">
        <v>6</v>
      </c>
      <c r="B24" s="447">
        <v>848038</v>
      </c>
      <c r="C24" s="448" t="s">
        <v>286</v>
      </c>
      <c r="D24" s="447">
        <v>4</v>
      </c>
      <c r="E24" s="411" t="s">
        <v>283</v>
      </c>
      <c r="F24" s="417">
        <v>40</v>
      </c>
      <c r="G24" s="417">
        <v>20</v>
      </c>
      <c r="H24" s="251"/>
      <c r="I24" s="417">
        <v>60</v>
      </c>
      <c r="J24" s="411">
        <v>1</v>
      </c>
      <c r="K24" s="411">
        <v>1</v>
      </c>
      <c r="L24" s="411">
        <v>50</v>
      </c>
      <c r="M24" s="222">
        <v>11072</v>
      </c>
      <c r="N24" s="256" t="s">
        <v>363</v>
      </c>
      <c r="O24" s="222" t="s">
        <v>183</v>
      </c>
      <c r="P24" s="222">
        <v>60</v>
      </c>
    </row>
    <row r="25" spans="1:16" ht="27" customHeight="1" x14ac:dyDescent="0.2">
      <c r="A25" s="446"/>
      <c r="B25" s="447"/>
      <c r="C25" s="448"/>
      <c r="D25" s="447"/>
      <c r="E25" s="412"/>
      <c r="F25" s="419"/>
      <c r="G25" s="419"/>
      <c r="H25" s="251"/>
      <c r="I25" s="419"/>
      <c r="J25" s="412"/>
      <c r="K25" s="412"/>
      <c r="L25" s="412"/>
      <c r="M25" s="173"/>
      <c r="N25" s="173"/>
      <c r="O25" s="173"/>
      <c r="P25" s="173"/>
    </row>
    <row r="26" spans="1:16" ht="27" customHeight="1" x14ac:dyDescent="0.2">
      <c r="A26" s="445">
        <v>7</v>
      </c>
      <c r="B26" s="447">
        <v>848311</v>
      </c>
      <c r="C26" s="449" t="s">
        <v>154</v>
      </c>
      <c r="D26" s="447">
        <v>2</v>
      </c>
      <c r="E26" s="411" t="s">
        <v>283</v>
      </c>
      <c r="F26" s="417">
        <v>30</v>
      </c>
      <c r="G26" s="417">
        <v>0</v>
      </c>
      <c r="H26" s="251"/>
      <c r="I26" s="417">
        <v>30</v>
      </c>
      <c r="J26" s="411">
        <v>1</v>
      </c>
      <c r="K26" s="411">
        <v>1</v>
      </c>
      <c r="L26" s="411">
        <v>30</v>
      </c>
      <c r="M26" s="222">
        <v>10985</v>
      </c>
      <c r="N26" s="222" t="s">
        <v>359</v>
      </c>
      <c r="O26" s="222" t="s">
        <v>155</v>
      </c>
      <c r="P26" s="222">
        <v>30</v>
      </c>
    </row>
    <row r="27" spans="1:16" ht="27" customHeight="1" x14ac:dyDescent="0.2">
      <c r="A27" s="446"/>
      <c r="B27" s="447"/>
      <c r="C27" s="449"/>
      <c r="D27" s="447"/>
      <c r="E27" s="412"/>
      <c r="F27" s="419"/>
      <c r="G27" s="419"/>
      <c r="H27" s="251"/>
      <c r="I27" s="419"/>
      <c r="J27" s="412"/>
      <c r="K27" s="412"/>
      <c r="L27" s="412"/>
      <c r="M27" s="173"/>
      <c r="N27" s="173"/>
      <c r="O27" s="173"/>
      <c r="P27" s="173"/>
    </row>
    <row r="28" spans="1:16" ht="45.75" customHeight="1" x14ac:dyDescent="0.2">
      <c r="A28" s="445">
        <v>8</v>
      </c>
      <c r="B28" s="426">
        <v>848310</v>
      </c>
      <c r="C28" s="450" t="s">
        <v>156</v>
      </c>
      <c r="D28" s="426">
        <v>3</v>
      </c>
      <c r="E28" s="411" t="s">
        <v>283</v>
      </c>
      <c r="F28" s="417">
        <v>30</v>
      </c>
      <c r="G28" s="417">
        <v>15</v>
      </c>
      <c r="H28" s="251"/>
      <c r="I28" s="417">
        <v>45</v>
      </c>
      <c r="J28" s="411">
        <v>1</v>
      </c>
      <c r="K28" s="411">
        <v>1</v>
      </c>
      <c r="L28" s="411">
        <v>30</v>
      </c>
      <c r="M28" s="222">
        <v>10154</v>
      </c>
      <c r="N28" s="222" t="s">
        <v>346</v>
      </c>
      <c r="O28" s="222" t="s">
        <v>157</v>
      </c>
      <c r="P28" s="222">
        <v>45</v>
      </c>
    </row>
    <row r="29" spans="1:16" ht="27" customHeight="1" x14ac:dyDescent="0.2">
      <c r="A29" s="446"/>
      <c r="B29" s="426"/>
      <c r="C29" s="450"/>
      <c r="D29" s="426"/>
      <c r="E29" s="412"/>
      <c r="F29" s="419"/>
      <c r="G29" s="419"/>
      <c r="H29" s="251"/>
      <c r="I29" s="419"/>
      <c r="J29" s="412"/>
      <c r="K29" s="412"/>
      <c r="L29" s="412"/>
      <c r="M29" s="173"/>
      <c r="N29" s="173"/>
      <c r="O29" s="173"/>
      <c r="P29" s="173"/>
    </row>
    <row r="30" spans="1:16" ht="27" customHeight="1" x14ac:dyDescent="0.2">
      <c r="A30" s="445">
        <v>9</v>
      </c>
      <c r="B30" s="426">
        <v>848308</v>
      </c>
      <c r="C30" s="423" t="s">
        <v>287</v>
      </c>
      <c r="D30" s="426">
        <v>3</v>
      </c>
      <c r="E30" s="411" t="s">
        <v>288</v>
      </c>
      <c r="F30" s="417">
        <v>30</v>
      </c>
      <c r="G30" s="417">
        <v>15</v>
      </c>
      <c r="H30" s="251"/>
      <c r="I30" s="417">
        <v>45</v>
      </c>
      <c r="J30" s="411">
        <v>1</v>
      </c>
      <c r="K30" s="409">
        <v>1</v>
      </c>
      <c r="L30" s="411">
        <v>80</v>
      </c>
      <c r="M30" s="222">
        <v>11072</v>
      </c>
      <c r="N30" s="256" t="s">
        <v>363</v>
      </c>
      <c r="O30" s="222" t="s">
        <v>183</v>
      </c>
      <c r="P30" s="222">
        <v>45</v>
      </c>
    </row>
    <row r="31" spans="1:16" ht="27" customHeight="1" x14ac:dyDescent="0.2">
      <c r="A31" s="446"/>
      <c r="B31" s="426"/>
      <c r="C31" s="423"/>
      <c r="D31" s="426"/>
      <c r="E31" s="412"/>
      <c r="F31" s="419"/>
      <c r="G31" s="419"/>
      <c r="H31" s="251"/>
      <c r="I31" s="419"/>
      <c r="J31" s="412"/>
      <c r="K31" s="410"/>
      <c r="L31" s="412"/>
      <c r="M31" s="173"/>
      <c r="N31" s="173"/>
      <c r="O31" s="173"/>
      <c r="P31" s="173"/>
    </row>
    <row r="32" spans="1:16" ht="27" customHeight="1" x14ac:dyDescent="0.2">
      <c r="A32" s="445">
        <v>10</v>
      </c>
      <c r="B32" s="426">
        <v>801047</v>
      </c>
      <c r="C32" s="423" t="s">
        <v>123</v>
      </c>
      <c r="D32" s="445">
        <v>4</v>
      </c>
      <c r="E32" s="411" t="s">
        <v>289</v>
      </c>
      <c r="F32" s="411">
        <v>45</v>
      </c>
      <c r="G32" s="411">
        <v>15</v>
      </c>
      <c r="H32" s="251"/>
      <c r="I32" s="411">
        <v>60</v>
      </c>
      <c r="J32" s="411">
        <v>1</v>
      </c>
      <c r="K32" s="409">
        <v>1</v>
      </c>
      <c r="L32" s="411">
        <v>50</v>
      </c>
      <c r="M32" s="222">
        <v>11381</v>
      </c>
      <c r="N32" s="256" t="s">
        <v>361</v>
      </c>
      <c r="O32" s="222" t="s">
        <v>195</v>
      </c>
      <c r="P32" s="222">
        <v>60</v>
      </c>
    </row>
    <row r="33" spans="1:16" ht="27" customHeight="1" x14ac:dyDescent="0.2">
      <c r="A33" s="446"/>
      <c r="B33" s="426"/>
      <c r="C33" s="423"/>
      <c r="D33" s="446"/>
      <c r="E33" s="412"/>
      <c r="F33" s="412"/>
      <c r="G33" s="412"/>
      <c r="H33" s="251"/>
      <c r="I33" s="412"/>
      <c r="J33" s="412"/>
      <c r="K33" s="410"/>
      <c r="L33" s="412"/>
      <c r="M33" s="173"/>
      <c r="N33" s="173"/>
      <c r="O33" s="173"/>
      <c r="P33" s="173"/>
    </row>
    <row r="34" spans="1:16" ht="27" customHeight="1" x14ac:dyDescent="0.2">
      <c r="A34" s="445">
        <v>11</v>
      </c>
      <c r="B34" s="426">
        <v>841303</v>
      </c>
      <c r="C34" s="451" t="s">
        <v>290</v>
      </c>
      <c r="D34" s="445">
        <v>4</v>
      </c>
      <c r="E34" s="411" t="s">
        <v>289</v>
      </c>
      <c r="F34" s="411">
        <v>45</v>
      </c>
      <c r="G34" s="411">
        <v>30</v>
      </c>
      <c r="H34" s="251"/>
      <c r="I34" s="411">
        <v>75</v>
      </c>
      <c r="J34" s="411">
        <v>0.8</v>
      </c>
      <c r="K34" s="411">
        <v>1</v>
      </c>
      <c r="L34" s="413">
        <v>60</v>
      </c>
      <c r="M34" s="222"/>
      <c r="N34" s="222"/>
      <c r="O34" s="222" t="s">
        <v>250</v>
      </c>
      <c r="P34" s="222"/>
    </row>
    <row r="35" spans="1:16" ht="27" customHeight="1" x14ac:dyDescent="0.2">
      <c r="A35" s="446"/>
      <c r="B35" s="426"/>
      <c r="C35" s="451"/>
      <c r="D35" s="446"/>
      <c r="E35" s="412"/>
      <c r="F35" s="412"/>
      <c r="G35" s="412"/>
      <c r="H35" s="251"/>
      <c r="I35" s="412"/>
      <c r="J35" s="412"/>
      <c r="K35" s="412"/>
      <c r="L35" s="414"/>
      <c r="M35" s="173"/>
      <c r="N35" s="173"/>
      <c r="O35" s="173"/>
      <c r="P35" s="173"/>
    </row>
    <row r="36" spans="1:16" ht="27" customHeight="1" x14ac:dyDescent="0.2">
      <c r="A36" s="445">
        <v>12</v>
      </c>
      <c r="B36" s="426">
        <v>841108</v>
      </c>
      <c r="C36" s="451" t="s">
        <v>158</v>
      </c>
      <c r="D36" s="445">
        <v>4</v>
      </c>
      <c r="E36" s="411" t="s">
        <v>289</v>
      </c>
      <c r="F36" s="411">
        <v>45</v>
      </c>
      <c r="G36" s="411">
        <v>30</v>
      </c>
      <c r="H36" s="251"/>
      <c r="I36" s="411">
        <v>75</v>
      </c>
      <c r="J36" s="411">
        <v>0.8</v>
      </c>
      <c r="K36" s="411">
        <v>1</v>
      </c>
      <c r="L36" s="413">
        <v>60</v>
      </c>
      <c r="M36" s="222"/>
      <c r="N36" s="222"/>
      <c r="O36" s="222" t="s">
        <v>250</v>
      </c>
      <c r="P36" s="222"/>
    </row>
    <row r="37" spans="1:16" ht="27" customHeight="1" x14ac:dyDescent="0.2">
      <c r="A37" s="453"/>
      <c r="B37" s="454"/>
      <c r="C37" s="455"/>
      <c r="D37" s="453"/>
      <c r="E37" s="422"/>
      <c r="F37" s="422"/>
      <c r="G37" s="422"/>
      <c r="H37" s="251"/>
      <c r="I37" s="422"/>
      <c r="J37" s="412"/>
      <c r="K37" s="412"/>
      <c r="L37" s="414"/>
      <c r="M37" s="173"/>
      <c r="N37" s="173"/>
      <c r="O37" s="173"/>
      <c r="P37" s="173"/>
    </row>
    <row r="38" spans="1:16" ht="27" customHeight="1" x14ac:dyDescent="0.2">
      <c r="A38" s="424">
        <v>13</v>
      </c>
      <c r="B38" s="426">
        <v>841109</v>
      </c>
      <c r="C38" s="451" t="s">
        <v>159</v>
      </c>
      <c r="D38" s="424">
        <v>4</v>
      </c>
      <c r="E38" s="452" t="s">
        <v>289</v>
      </c>
      <c r="F38" s="452">
        <v>45</v>
      </c>
      <c r="G38" s="452">
        <v>30</v>
      </c>
      <c r="H38" s="253"/>
      <c r="I38" s="452">
        <v>75</v>
      </c>
      <c r="J38" s="411">
        <v>0.8</v>
      </c>
      <c r="K38" s="411">
        <v>1</v>
      </c>
      <c r="L38" s="413">
        <v>60</v>
      </c>
      <c r="M38" s="222"/>
      <c r="N38" s="222"/>
      <c r="O38" s="222" t="s">
        <v>250</v>
      </c>
      <c r="P38" s="222"/>
    </row>
    <row r="39" spans="1:16" ht="27" customHeight="1" x14ac:dyDescent="0.2">
      <c r="A39" s="424"/>
      <c r="B39" s="426"/>
      <c r="C39" s="451"/>
      <c r="D39" s="424"/>
      <c r="E39" s="452"/>
      <c r="F39" s="452"/>
      <c r="G39" s="452"/>
      <c r="H39" s="253"/>
      <c r="I39" s="452"/>
      <c r="J39" s="412"/>
      <c r="K39" s="412"/>
      <c r="L39" s="414"/>
      <c r="M39" s="173"/>
      <c r="N39" s="173"/>
      <c r="O39" s="173"/>
      <c r="P39" s="173"/>
    </row>
    <row r="40" spans="1:16" ht="27" customHeight="1" x14ac:dyDescent="0.2">
      <c r="A40" s="424">
        <v>14</v>
      </c>
      <c r="B40" s="426">
        <v>832106</v>
      </c>
      <c r="C40" s="451" t="s">
        <v>160</v>
      </c>
      <c r="D40" s="424">
        <v>3</v>
      </c>
      <c r="E40" s="452" t="s">
        <v>289</v>
      </c>
      <c r="F40" s="424">
        <v>45</v>
      </c>
      <c r="G40" s="424">
        <v>0</v>
      </c>
      <c r="H40" s="253"/>
      <c r="I40" s="424">
        <v>45</v>
      </c>
      <c r="J40" s="411">
        <v>1</v>
      </c>
      <c r="K40" s="411">
        <v>1</v>
      </c>
      <c r="L40" s="413">
        <v>70</v>
      </c>
      <c r="M40" s="222"/>
      <c r="N40" s="222"/>
      <c r="O40" s="222" t="s">
        <v>307</v>
      </c>
      <c r="P40" s="222">
        <v>45</v>
      </c>
    </row>
    <row r="41" spans="1:16" ht="27" customHeight="1" x14ac:dyDescent="0.2">
      <c r="A41" s="424"/>
      <c r="B41" s="426"/>
      <c r="C41" s="451"/>
      <c r="D41" s="424"/>
      <c r="E41" s="452"/>
      <c r="F41" s="424"/>
      <c r="G41" s="424"/>
      <c r="H41" s="253"/>
      <c r="I41" s="424"/>
      <c r="J41" s="412"/>
      <c r="K41" s="412"/>
      <c r="L41" s="414"/>
      <c r="M41" s="173"/>
      <c r="N41" s="173"/>
      <c r="O41" s="173"/>
      <c r="P41" s="173"/>
    </row>
    <row r="42" spans="1:16" ht="27" customHeight="1" x14ac:dyDescent="0.2">
      <c r="A42" s="424">
        <v>15</v>
      </c>
      <c r="B42" s="426">
        <v>832017</v>
      </c>
      <c r="C42" s="451" t="s">
        <v>291</v>
      </c>
      <c r="D42" s="424">
        <v>3</v>
      </c>
      <c r="E42" s="452" t="s">
        <v>289</v>
      </c>
      <c r="F42" s="424">
        <v>45</v>
      </c>
      <c r="G42" s="424">
        <v>0</v>
      </c>
      <c r="H42" s="253"/>
      <c r="I42" s="424">
        <v>45</v>
      </c>
      <c r="J42" s="411">
        <v>1</v>
      </c>
      <c r="K42" s="411">
        <v>1</v>
      </c>
      <c r="L42" s="413">
        <v>70</v>
      </c>
      <c r="M42" s="222"/>
      <c r="N42" s="222"/>
      <c r="O42" s="222" t="s">
        <v>307</v>
      </c>
      <c r="P42" s="222">
        <v>45</v>
      </c>
    </row>
    <row r="43" spans="1:16" ht="27" customHeight="1" x14ac:dyDescent="0.2">
      <c r="A43" s="424"/>
      <c r="B43" s="426"/>
      <c r="C43" s="451"/>
      <c r="D43" s="424"/>
      <c r="E43" s="452"/>
      <c r="F43" s="424"/>
      <c r="G43" s="424"/>
      <c r="H43" s="253"/>
      <c r="I43" s="424"/>
      <c r="J43" s="412"/>
      <c r="K43" s="412"/>
      <c r="L43" s="414"/>
      <c r="M43" s="173"/>
      <c r="N43" s="173"/>
      <c r="O43" s="173"/>
      <c r="P43" s="173"/>
    </row>
    <row r="44" spans="1:16" ht="27" customHeight="1" x14ac:dyDescent="0.2">
      <c r="A44" s="424">
        <v>16</v>
      </c>
      <c r="B44" s="426">
        <v>848309</v>
      </c>
      <c r="C44" s="450" t="s">
        <v>162</v>
      </c>
      <c r="D44" s="424">
        <v>4</v>
      </c>
      <c r="E44" s="452" t="s">
        <v>289</v>
      </c>
      <c r="F44" s="424">
        <v>45</v>
      </c>
      <c r="G44" s="424">
        <v>15</v>
      </c>
      <c r="H44" s="253"/>
      <c r="I44" s="424">
        <v>60</v>
      </c>
      <c r="J44" s="411">
        <v>1</v>
      </c>
      <c r="K44" s="411">
        <v>1</v>
      </c>
      <c r="L44" s="411">
        <v>70</v>
      </c>
      <c r="M44" s="222">
        <v>10154</v>
      </c>
      <c r="N44" s="222" t="s">
        <v>346</v>
      </c>
      <c r="O44" s="222" t="s">
        <v>157</v>
      </c>
      <c r="P44" s="222">
        <v>60</v>
      </c>
    </row>
    <row r="45" spans="1:16" ht="27" customHeight="1" x14ac:dyDescent="0.2">
      <c r="A45" s="424"/>
      <c r="B45" s="426"/>
      <c r="C45" s="450"/>
      <c r="D45" s="424"/>
      <c r="E45" s="452"/>
      <c r="F45" s="424"/>
      <c r="G45" s="424"/>
      <c r="H45" s="253"/>
      <c r="I45" s="424"/>
      <c r="J45" s="412"/>
      <c r="K45" s="412"/>
      <c r="L45" s="412"/>
      <c r="M45" s="173"/>
      <c r="N45" s="173"/>
      <c r="O45" s="173"/>
      <c r="P45" s="173"/>
    </row>
    <row r="46" spans="1:16" ht="27" customHeight="1" x14ac:dyDescent="0.2">
      <c r="A46" s="424">
        <v>17</v>
      </c>
      <c r="B46" s="426">
        <v>848010</v>
      </c>
      <c r="C46" s="423" t="s">
        <v>135</v>
      </c>
      <c r="D46" s="424">
        <v>4</v>
      </c>
      <c r="E46" s="424" t="s">
        <v>292</v>
      </c>
      <c r="F46" s="424">
        <v>45</v>
      </c>
      <c r="G46" s="424">
        <v>15</v>
      </c>
      <c r="H46" s="254"/>
      <c r="I46" s="424">
        <v>60</v>
      </c>
      <c r="J46" s="411">
        <v>1</v>
      </c>
      <c r="K46" s="409">
        <v>1</v>
      </c>
      <c r="L46" s="411">
        <v>50</v>
      </c>
      <c r="M46" s="222">
        <v>10904</v>
      </c>
      <c r="N46" s="222" t="s">
        <v>359</v>
      </c>
      <c r="O46" s="222" t="s">
        <v>190</v>
      </c>
      <c r="P46" s="222">
        <v>60</v>
      </c>
    </row>
    <row r="47" spans="1:16" ht="27" customHeight="1" x14ac:dyDescent="0.2">
      <c r="A47" s="424"/>
      <c r="B47" s="426"/>
      <c r="C47" s="423"/>
      <c r="D47" s="424"/>
      <c r="E47" s="424"/>
      <c r="F47" s="424"/>
      <c r="G47" s="424"/>
      <c r="H47" s="254"/>
      <c r="I47" s="424"/>
      <c r="J47" s="412"/>
      <c r="K47" s="410"/>
      <c r="L47" s="412"/>
      <c r="M47" s="173"/>
      <c r="N47" s="173"/>
      <c r="O47" s="173"/>
      <c r="P47" s="173"/>
    </row>
    <row r="48" spans="1:16" ht="27" customHeight="1" x14ac:dyDescent="0.2">
      <c r="A48" s="424">
        <v>18</v>
      </c>
      <c r="B48" s="426">
        <v>801043</v>
      </c>
      <c r="C48" s="423" t="s">
        <v>140</v>
      </c>
      <c r="D48" s="417">
        <v>4</v>
      </c>
      <c r="E48" s="424" t="s">
        <v>292</v>
      </c>
      <c r="F48" s="424">
        <v>45</v>
      </c>
      <c r="G48" s="424">
        <v>15</v>
      </c>
      <c r="H48" s="254"/>
      <c r="I48" s="424">
        <v>60</v>
      </c>
      <c r="J48" s="411">
        <v>1</v>
      </c>
      <c r="K48" s="409">
        <v>1</v>
      </c>
      <c r="L48" s="411">
        <v>50</v>
      </c>
      <c r="M48" s="222">
        <v>10934</v>
      </c>
      <c r="N48" s="222" t="s">
        <v>346</v>
      </c>
      <c r="O48" s="246" t="s">
        <v>192</v>
      </c>
      <c r="P48" s="222">
        <v>60</v>
      </c>
    </row>
    <row r="49" spans="1:16" ht="27" customHeight="1" x14ac:dyDescent="0.2">
      <c r="A49" s="424"/>
      <c r="B49" s="426"/>
      <c r="C49" s="423"/>
      <c r="D49" s="419"/>
      <c r="E49" s="424"/>
      <c r="F49" s="424"/>
      <c r="G49" s="424"/>
      <c r="H49" s="254"/>
      <c r="I49" s="424"/>
      <c r="J49" s="412"/>
      <c r="K49" s="410"/>
      <c r="L49" s="412"/>
      <c r="M49" s="173"/>
      <c r="N49" s="173"/>
      <c r="O49" s="173"/>
      <c r="P49" s="173"/>
    </row>
    <row r="50" spans="1:16" ht="27" customHeight="1" x14ac:dyDescent="0.2">
      <c r="A50" s="426">
        <v>19</v>
      </c>
      <c r="B50" s="426">
        <v>801043</v>
      </c>
      <c r="C50" s="456" t="s">
        <v>182</v>
      </c>
      <c r="D50" s="426">
        <v>2</v>
      </c>
      <c r="E50" s="424" t="s">
        <v>293</v>
      </c>
      <c r="F50" s="426">
        <v>20</v>
      </c>
      <c r="G50" s="426">
        <v>10</v>
      </c>
      <c r="H50" s="254"/>
      <c r="I50" s="426">
        <v>30</v>
      </c>
      <c r="J50" s="411">
        <v>1</v>
      </c>
      <c r="K50" s="409">
        <v>1</v>
      </c>
      <c r="L50" s="411">
        <v>80</v>
      </c>
      <c r="M50" s="222">
        <v>11072</v>
      </c>
      <c r="N50" s="256" t="s">
        <v>363</v>
      </c>
      <c r="O50" s="222" t="s">
        <v>183</v>
      </c>
      <c r="P50" s="222">
        <v>30</v>
      </c>
    </row>
    <row r="51" spans="1:16" ht="27" customHeight="1" x14ac:dyDescent="0.2">
      <c r="A51" s="426"/>
      <c r="B51" s="426"/>
      <c r="C51" s="456"/>
      <c r="D51" s="426"/>
      <c r="E51" s="424"/>
      <c r="F51" s="426"/>
      <c r="G51" s="426"/>
      <c r="H51" s="254"/>
      <c r="I51" s="426"/>
      <c r="J51" s="412"/>
      <c r="K51" s="410"/>
      <c r="L51" s="412"/>
      <c r="M51" s="173"/>
      <c r="N51" s="173"/>
      <c r="O51" s="173"/>
      <c r="P51" s="173"/>
    </row>
    <row r="52" spans="1:16" ht="27" customHeight="1" x14ac:dyDescent="0.2">
      <c r="A52" s="426">
        <v>19</v>
      </c>
      <c r="B52" s="426">
        <v>801043</v>
      </c>
      <c r="C52" s="456" t="s">
        <v>182</v>
      </c>
      <c r="D52" s="426">
        <v>2</v>
      </c>
      <c r="E52" s="424" t="s">
        <v>293</v>
      </c>
      <c r="F52" s="426">
        <v>20</v>
      </c>
      <c r="G52" s="426">
        <v>10</v>
      </c>
      <c r="H52" s="293"/>
      <c r="I52" s="426">
        <v>30</v>
      </c>
      <c r="J52" s="411">
        <v>1</v>
      </c>
      <c r="K52" s="409">
        <v>1</v>
      </c>
      <c r="L52" s="411">
        <v>80</v>
      </c>
      <c r="M52" s="222">
        <v>11072</v>
      </c>
      <c r="N52" s="256" t="s">
        <v>363</v>
      </c>
      <c r="O52" s="222" t="s">
        <v>183</v>
      </c>
      <c r="P52" s="222">
        <v>30</v>
      </c>
    </row>
    <row r="53" spans="1:16" ht="27" customHeight="1" x14ac:dyDescent="0.2">
      <c r="A53" s="426"/>
      <c r="B53" s="426"/>
      <c r="C53" s="456"/>
      <c r="D53" s="426"/>
      <c r="E53" s="424"/>
      <c r="F53" s="426"/>
      <c r="G53" s="426"/>
      <c r="H53" s="293"/>
      <c r="I53" s="426"/>
      <c r="J53" s="412"/>
      <c r="K53" s="410"/>
      <c r="L53" s="412"/>
      <c r="M53" s="173"/>
      <c r="N53" s="173"/>
      <c r="O53" s="173"/>
      <c r="P53" s="173"/>
    </row>
    <row r="54" spans="1:16" ht="27" customHeight="1" x14ac:dyDescent="0.2">
      <c r="A54" s="426">
        <v>20</v>
      </c>
      <c r="B54" s="426">
        <v>848401</v>
      </c>
      <c r="C54" s="456" t="s">
        <v>181</v>
      </c>
      <c r="D54" s="426">
        <v>5</v>
      </c>
      <c r="E54" s="424" t="s">
        <v>293</v>
      </c>
      <c r="F54" s="426">
        <v>45</v>
      </c>
      <c r="G54" s="426">
        <v>30</v>
      </c>
      <c r="H54" s="254"/>
      <c r="I54" s="426">
        <v>75</v>
      </c>
      <c r="J54" s="411">
        <v>1</v>
      </c>
      <c r="K54" s="409">
        <v>1</v>
      </c>
      <c r="L54" s="411">
        <v>80</v>
      </c>
      <c r="M54" s="222">
        <v>10874</v>
      </c>
      <c r="N54" s="256" t="s">
        <v>361</v>
      </c>
      <c r="O54" s="222" t="s">
        <v>179</v>
      </c>
      <c r="P54" s="222">
        <v>75</v>
      </c>
    </row>
    <row r="55" spans="1:16" ht="27" customHeight="1" x14ac:dyDescent="0.2">
      <c r="A55" s="426"/>
      <c r="B55" s="426"/>
      <c r="C55" s="456"/>
      <c r="D55" s="426"/>
      <c r="E55" s="424"/>
      <c r="F55" s="426"/>
      <c r="G55" s="426"/>
      <c r="H55" s="254"/>
      <c r="I55" s="426"/>
      <c r="J55" s="412"/>
      <c r="K55" s="410"/>
      <c r="L55" s="412"/>
      <c r="M55" s="173"/>
      <c r="N55" s="173"/>
      <c r="O55" s="173"/>
      <c r="P55" s="173"/>
    </row>
    <row r="56" spans="1:16" ht="27" customHeight="1" x14ac:dyDescent="0.2">
      <c r="A56" s="426">
        <v>20</v>
      </c>
      <c r="B56" s="426">
        <v>848401</v>
      </c>
      <c r="C56" s="456" t="s">
        <v>181</v>
      </c>
      <c r="D56" s="426">
        <v>5</v>
      </c>
      <c r="E56" s="424" t="s">
        <v>293</v>
      </c>
      <c r="F56" s="426">
        <v>45</v>
      </c>
      <c r="G56" s="426">
        <v>30</v>
      </c>
      <c r="H56" s="293"/>
      <c r="I56" s="426">
        <v>75</v>
      </c>
      <c r="J56" s="411">
        <v>1</v>
      </c>
      <c r="K56" s="409">
        <v>1</v>
      </c>
      <c r="L56" s="411">
        <v>80</v>
      </c>
      <c r="M56" s="222">
        <v>10874</v>
      </c>
      <c r="N56" s="256" t="s">
        <v>361</v>
      </c>
      <c r="O56" s="222" t="s">
        <v>179</v>
      </c>
      <c r="P56" s="222">
        <v>75</v>
      </c>
    </row>
    <row r="57" spans="1:16" ht="27" customHeight="1" x14ac:dyDescent="0.2">
      <c r="A57" s="426"/>
      <c r="B57" s="426"/>
      <c r="C57" s="456"/>
      <c r="D57" s="426"/>
      <c r="E57" s="424"/>
      <c r="F57" s="426"/>
      <c r="G57" s="426"/>
      <c r="H57" s="293"/>
      <c r="I57" s="426"/>
      <c r="J57" s="412"/>
      <c r="K57" s="410"/>
      <c r="L57" s="412"/>
      <c r="M57" s="173"/>
      <c r="N57" s="173"/>
      <c r="O57" s="173"/>
      <c r="P57" s="173"/>
    </row>
    <row r="58" spans="1:16" ht="27" customHeight="1" x14ac:dyDescent="0.2">
      <c r="A58" s="426">
        <v>21</v>
      </c>
      <c r="B58" s="426">
        <v>848001</v>
      </c>
      <c r="C58" s="423" t="s">
        <v>184</v>
      </c>
      <c r="D58" s="426">
        <v>6</v>
      </c>
      <c r="E58" s="424" t="s">
        <v>293</v>
      </c>
      <c r="F58" s="426">
        <v>60</v>
      </c>
      <c r="G58" s="426">
        <v>30</v>
      </c>
      <c r="H58" s="254"/>
      <c r="I58" s="426">
        <v>90</v>
      </c>
      <c r="J58" s="411">
        <v>1</v>
      </c>
      <c r="K58" s="409">
        <v>1</v>
      </c>
      <c r="L58" s="411">
        <v>40</v>
      </c>
      <c r="M58" s="222">
        <v>10934</v>
      </c>
      <c r="N58" s="256" t="s">
        <v>346</v>
      </c>
      <c r="O58" s="246" t="s">
        <v>192</v>
      </c>
      <c r="P58" s="222">
        <v>30</v>
      </c>
    </row>
    <row r="59" spans="1:16" ht="27" customHeight="1" x14ac:dyDescent="0.2">
      <c r="A59" s="426"/>
      <c r="B59" s="426"/>
      <c r="C59" s="423"/>
      <c r="D59" s="426"/>
      <c r="E59" s="424"/>
      <c r="F59" s="426"/>
      <c r="G59" s="426"/>
      <c r="H59" s="254"/>
      <c r="I59" s="426"/>
      <c r="J59" s="412"/>
      <c r="K59" s="410"/>
      <c r="L59" s="412"/>
      <c r="M59" s="224">
        <v>10826</v>
      </c>
      <c r="N59" s="224" t="s">
        <v>361</v>
      </c>
      <c r="O59" s="247" t="s">
        <v>191</v>
      </c>
      <c r="P59" s="224">
        <v>60</v>
      </c>
    </row>
    <row r="60" spans="1:16" ht="27" customHeight="1" x14ac:dyDescent="0.2">
      <c r="A60" s="426">
        <v>21</v>
      </c>
      <c r="B60" s="426">
        <v>848001</v>
      </c>
      <c r="C60" s="423" t="s">
        <v>184</v>
      </c>
      <c r="D60" s="426">
        <v>6</v>
      </c>
      <c r="E60" s="424" t="s">
        <v>293</v>
      </c>
      <c r="F60" s="426">
        <v>60</v>
      </c>
      <c r="G60" s="426">
        <v>30</v>
      </c>
      <c r="H60" s="293"/>
      <c r="I60" s="426">
        <v>90</v>
      </c>
      <c r="J60" s="411">
        <v>1</v>
      </c>
      <c r="K60" s="409">
        <v>1</v>
      </c>
      <c r="L60" s="411">
        <v>40</v>
      </c>
      <c r="M60" s="222">
        <v>10934</v>
      </c>
      <c r="N60" s="256" t="s">
        <v>346</v>
      </c>
      <c r="O60" s="246" t="s">
        <v>192</v>
      </c>
      <c r="P60" s="222">
        <v>30</v>
      </c>
    </row>
    <row r="61" spans="1:16" ht="27" customHeight="1" x14ac:dyDescent="0.2">
      <c r="A61" s="426"/>
      <c r="B61" s="426"/>
      <c r="C61" s="423"/>
      <c r="D61" s="426"/>
      <c r="E61" s="424"/>
      <c r="F61" s="426"/>
      <c r="G61" s="426"/>
      <c r="H61" s="293"/>
      <c r="I61" s="426"/>
      <c r="J61" s="412"/>
      <c r="K61" s="410"/>
      <c r="L61" s="412"/>
      <c r="M61" s="224">
        <v>10826</v>
      </c>
      <c r="N61" s="224" t="s">
        <v>361</v>
      </c>
      <c r="O61" s="247" t="s">
        <v>191</v>
      </c>
      <c r="P61" s="224">
        <v>60</v>
      </c>
    </row>
    <row r="62" spans="1:16" ht="19.5" x14ac:dyDescent="0.2">
      <c r="A62" s="226"/>
      <c r="B62" s="226"/>
      <c r="C62" s="226"/>
      <c r="D62" s="227"/>
      <c r="E62" s="227"/>
      <c r="F62" s="226"/>
      <c r="G62" s="226"/>
      <c r="H62" s="227"/>
      <c r="I62" s="227"/>
      <c r="J62" s="227"/>
      <c r="K62" s="227"/>
      <c r="L62" s="227"/>
      <c r="M62" s="227"/>
      <c r="N62" s="227"/>
      <c r="O62" s="227"/>
      <c r="P62" s="226"/>
    </row>
    <row r="63" spans="1:16" ht="21.75" customHeight="1" x14ac:dyDescent="0.25">
      <c r="A63" s="457" t="s">
        <v>53</v>
      </c>
      <c r="B63" s="457"/>
      <c r="C63" s="457"/>
      <c r="D63" s="457"/>
      <c r="E63" s="457"/>
      <c r="F63" s="457"/>
      <c r="G63" s="457"/>
      <c r="H63" s="457"/>
      <c r="I63" s="457"/>
      <c r="J63" s="457"/>
      <c r="K63" s="457"/>
      <c r="L63" s="457"/>
      <c r="M63" s="90"/>
      <c r="N63" s="90"/>
      <c r="O63" s="90"/>
      <c r="P63" s="91"/>
    </row>
    <row r="64" spans="1:16" ht="19.5" x14ac:dyDescent="0.25">
      <c r="A64" s="458" t="s">
        <v>54</v>
      </c>
      <c r="B64" s="457"/>
      <c r="C64" s="90"/>
      <c r="D64" s="90"/>
      <c r="E64" s="90"/>
      <c r="F64" s="90"/>
      <c r="G64" s="90"/>
      <c r="H64" s="90"/>
      <c r="I64" s="90"/>
      <c r="J64" s="90"/>
      <c r="K64" s="90"/>
      <c r="L64" s="42"/>
      <c r="M64" s="42"/>
      <c r="N64" s="42"/>
      <c r="O64" s="42"/>
      <c r="P64" s="42"/>
    </row>
    <row r="65" spans="1:18" ht="21.75" customHeight="1" x14ac:dyDescent="0.3">
      <c r="A65" s="43"/>
      <c r="B65" s="43"/>
      <c r="C65" s="43"/>
      <c r="D65" s="43"/>
      <c r="E65" s="43"/>
      <c r="F65" s="43"/>
      <c r="G65" s="43"/>
      <c r="H65" s="43"/>
      <c r="I65" s="43"/>
      <c r="J65" s="43"/>
      <c r="K65" s="459" t="s">
        <v>94</v>
      </c>
      <c r="L65" s="459"/>
      <c r="M65" s="459"/>
      <c r="N65" s="459"/>
      <c r="O65" s="459"/>
      <c r="P65" s="42"/>
    </row>
    <row r="66" spans="1:18" ht="18.75" x14ac:dyDescent="0.25">
      <c r="A66" s="43"/>
      <c r="B66" s="43"/>
      <c r="C66" s="43"/>
      <c r="D66" s="43"/>
      <c r="E66" s="43"/>
      <c r="F66" s="43"/>
      <c r="G66" s="43"/>
      <c r="H66" s="43"/>
      <c r="I66" s="43"/>
      <c r="J66" s="43"/>
      <c r="K66" s="42"/>
      <c r="L66" s="42"/>
      <c r="M66" s="42"/>
      <c r="N66" s="42"/>
      <c r="O66" s="42"/>
      <c r="P66" s="44"/>
    </row>
    <row r="67" spans="1:18" ht="18" x14ac:dyDescent="0.25">
      <c r="A67" s="45"/>
      <c r="B67" s="45"/>
      <c r="C67" s="233" t="s">
        <v>303</v>
      </c>
      <c r="D67" s="45"/>
      <c r="E67" s="45"/>
      <c r="F67" s="45"/>
      <c r="G67" s="45"/>
      <c r="H67" s="45"/>
      <c r="I67" s="45"/>
      <c r="J67" s="45"/>
      <c r="K67" s="46"/>
      <c r="L67" s="46"/>
      <c r="M67" s="46"/>
      <c r="N67" s="46"/>
      <c r="O67" s="46"/>
      <c r="P67" s="45"/>
    </row>
    <row r="68" spans="1:18" ht="18" x14ac:dyDescent="0.25">
      <c r="A68" s="45"/>
      <c r="B68" s="45"/>
      <c r="C68" s="234" t="s">
        <v>142</v>
      </c>
      <c r="D68" s="45"/>
      <c r="E68" s="45"/>
      <c r="F68" s="45"/>
      <c r="G68" s="45"/>
      <c r="H68" s="45"/>
      <c r="I68" s="45"/>
      <c r="J68" s="45"/>
      <c r="K68" s="46"/>
      <c r="L68" s="46"/>
      <c r="M68" s="46"/>
      <c r="N68" s="46"/>
      <c r="O68" s="46"/>
      <c r="P68" s="45"/>
    </row>
    <row r="69" spans="1:18" ht="18" x14ac:dyDescent="0.25">
      <c r="A69" s="45"/>
      <c r="B69" s="45"/>
      <c r="C69" s="235" t="s">
        <v>304</v>
      </c>
      <c r="D69" s="45"/>
      <c r="E69" s="45"/>
      <c r="F69" s="45"/>
      <c r="G69" s="45"/>
      <c r="H69" s="45"/>
      <c r="I69" s="45"/>
      <c r="J69" s="45"/>
      <c r="K69" s="46"/>
      <c r="L69" s="46"/>
      <c r="M69" s="46"/>
      <c r="N69" s="46"/>
      <c r="O69" s="46"/>
      <c r="P69" s="45"/>
    </row>
    <row r="70" spans="1:18" ht="18" x14ac:dyDescent="0.25">
      <c r="A70" s="45"/>
      <c r="B70" s="45"/>
      <c r="C70" s="236" t="s">
        <v>305</v>
      </c>
      <c r="D70" s="45"/>
      <c r="E70" s="45"/>
      <c r="F70" s="45"/>
      <c r="G70" s="45"/>
      <c r="H70" s="45"/>
      <c r="I70" s="45"/>
      <c r="J70" s="45"/>
      <c r="K70" s="46"/>
      <c r="L70" s="46"/>
      <c r="M70" s="46"/>
      <c r="N70" s="46"/>
      <c r="O70" s="46"/>
      <c r="P70" s="47"/>
    </row>
    <row r="71" spans="1:18" ht="18" x14ac:dyDescent="0.25">
      <c r="A71" s="45"/>
      <c r="B71" s="45"/>
      <c r="C71" s="237" t="s">
        <v>306</v>
      </c>
      <c r="D71" s="45"/>
      <c r="E71" s="45"/>
      <c r="F71" s="45"/>
      <c r="G71" s="45"/>
      <c r="H71" s="45"/>
      <c r="I71" s="45"/>
      <c r="J71" s="45"/>
      <c r="K71" s="46"/>
      <c r="L71" s="46"/>
      <c r="M71" s="46"/>
      <c r="N71" s="46"/>
      <c r="O71" s="46"/>
      <c r="P71" s="46"/>
      <c r="R71" s="28" t="s">
        <v>55</v>
      </c>
    </row>
    <row r="72" spans="1:18" ht="18" x14ac:dyDescent="0.25">
      <c r="A72" s="45"/>
      <c r="B72" s="45"/>
      <c r="C72" s="45"/>
      <c r="D72" s="45"/>
      <c r="E72" s="45"/>
      <c r="F72" s="45"/>
      <c r="G72" s="45"/>
      <c r="H72" s="45"/>
      <c r="I72" s="45"/>
      <c r="J72" s="45"/>
      <c r="K72" s="46"/>
      <c r="L72" s="46"/>
      <c r="M72" s="46"/>
      <c r="N72" s="46"/>
      <c r="O72" s="46"/>
      <c r="P72" s="46"/>
    </row>
    <row r="73" spans="1:18" ht="18" x14ac:dyDescent="0.25">
      <c r="A73" s="45"/>
      <c r="B73" s="45"/>
      <c r="C73" s="45"/>
      <c r="D73" s="45"/>
      <c r="E73" s="45"/>
      <c r="F73" s="45"/>
      <c r="G73" s="45"/>
      <c r="H73" s="45"/>
      <c r="I73" s="45"/>
      <c r="J73" s="45"/>
      <c r="K73" s="46"/>
      <c r="L73" s="46"/>
      <c r="M73" s="46"/>
      <c r="N73" s="46"/>
      <c r="O73" s="46"/>
      <c r="P73" s="46"/>
    </row>
  </sheetData>
  <sortState xmlns:xlrd2="http://schemas.microsoft.com/office/spreadsheetml/2017/richdata2" ref="A15:R15">
    <sortCondition descending="1" ref="C15"/>
    <sortCondition descending="1" ref="G15"/>
  </sortState>
  <mergeCells count="300">
    <mergeCell ref="K56:K57"/>
    <mergeCell ref="L56:L57"/>
    <mergeCell ref="G58:G59"/>
    <mergeCell ref="I58:I59"/>
    <mergeCell ref="J58:J59"/>
    <mergeCell ref="K58:K59"/>
    <mergeCell ref="L58:L59"/>
    <mergeCell ref="F58:F59"/>
    <mergeCell ref="C52:C53"/>
    <mergeCell ref="D52:D53"/>
    <mergeCell ref="E52:E53"/>
    <mergeCell ref="F52:F53"/>
    <mergeCell ref="G52:G53"/>
    <mergeCell ref="I52:I53"/>
    <mergeCell ref="J52:J53"/>
    <mergeCell ref="K52:K53"/>
    <mergeCell ref="L52:L53"/>
    <mergeCell ref="L54:L55"/>
    <mergeCell ref="G54:G55"/>
    <mergeCell ref="I54:I55"/>
    <mergeCell ref="J54:J55"/>
    <mergeCell ref="K54:K55"/>
    <mergeCell ref="A56:A57"/>
    <mergeCell ref="B56:B57"/>
    <mergeCell ref="C56:C57"/>
    <mergeCell ref="D56:D57"/>
    <mergeCell ref="E56:E57"/>
    <mergeCell ref="F56:F57"/>
    <mergeCell ref="G56:G57"/>
    <mergeCell ref="I56:I57"/>
    <mergeCell ref="J56:J57"/>
    <mergeCell ref="A63:L63"/>
    <mergeCell ref="A64:B64"/>
    <mergeCell ref="K65:O65"/>
    <mergeCell ref="A58:A59"/>
    <mergeCell ref="B58:B59"/>
    <mergeCell ref="C58:C59"/>
    <mergeCell ref="D58:D59"/>
    <mergeCell ref="E58:E59"/>
    <mergeCell ref="A60:A61"/>
    <mergeCell ref="B60:B61"/>
    <mergeCell ref="C60:C61"/>
    <mergeCell ref="D60:D61"/>
    <mergeCell ref="E60:E61"/>
    <mergeCell ref="F60:F61"/>
    <mergeCell ref="G60:G61"/>
    <mergeCell ref="I60:I61"/>
    <mergeCell ref="J60:J61"/>
    <mergeCell ref="K60:K61"/>
    <mergeCell ref="L60:L61"/>
    <mergeCell ref="B50:B51"/>
    <mergeCell ref="A50:A51"/>
    <mergeCell ref="A54:A55"/>
    <mergeCell ref="B54:B55"/>
    <mergeCell ref="D54:D55"/>
    <mergeCell ref="E54:E55"/>
    <mergeCell ref="C50:C51"/>
    <mergeCell ref="C54:C55"/>
    <mergeCell ref="F54:F55"/>
    <mergeCell ref="D50:D51"/>
    <mergeCell ref="E50:E51"/>
    <mergeCell ref="F50:F51"/>
    <mergeCell ref="G50:G51"/>
    <mergeCell ref="I50:I51"/>
    <mergeCell ref="J50:J51"/>
    <mergeCell ref="K50:K51"/>
    <mergeCell ref="L50:L51"/>
    <mergeCell ref="A52:A53"/>
    <mergeCell ref="B52:B53"/>
    <mergeCell ref="K44:K45"/>
    <mergeCell ref="L42:L43"/>
    <mergeCell ref="A44:A45"/>
    <mergeCell ref="B44:B45"/>
    <mergeCell ref="C44:C45"/>
    <mergeCell ref="D44:D45"/>
    <mergeCell ref="E44:E45"/>
    <mergeCell ref="F44:F45"/>
    <mergeCell ref="G44:G45"/>
    <mergeCell ref="I44:I45"/>
    <mergeCell ref="J44:J45"/>
    <mergeCell ref="L44:L45"/>
    <mergeCell ref="L48:L49"/>
    <mergeCell ref="A46:A47"/>
    <mergeCell ref="B46:B47"/>
    <mergeCell ref="A48:A49"/>
    <mergeCell ref="B48:B49"/>
    <mergeCell ref="K40:K41"/>
    <mergeCell ref="L40:L41"/>
    <mergeCell ref="A42:A43"/>
    <mergeCell ref="B42:B43"/>
    <mergeCell ref="C42:C43"/>
    <mergeCell ref="D42:D43"/>
    <mergeCell ref="E42:E43"/>
    <mergeCell ref="F42:F43"/>
    <mergeCell ref="G42:G43"/>
    <mergeCell ref="I42:I43"/>
    <mergeCell ref="J42:J43"/>
    <mergeCell ref="K42:K43"/>
    <mergeCell ref="A40:A41"/>
    <mergeCell ref="B40:B41"/>
    <mergeCell ref="C40:C41"/>
    <mergeCell ref="D40:D41"/>
    <mergeCell ref="E40:E41"/>
    <mergeCell ref="F40:F41"/>
    <mergeCell ref="G40:G41"/>
    <mergeCell ref="I40:I41"/>
    <mergeCell ref="J40:J41"/>
    <mergeCell ref="K36:K37"/>
    <mergeCell ref="L36:L37"/>
    <mergeCell ref="A38:A39"/>
    <mergeCell ref="B38:B39"/>
    <mergeCell ref="C38:C39"/>
    <mergeCell ref="D38:D39"/>
    <mergeCell ref="E38:E39"/>
    <mergeCell ref="F38:F39"/>
    <mergeCell ref="G38:G39"/>
    <mergeCell ref="I38:I39"/>
    <mergeCell ref="J38:J39"/>
    <mergeCell ref="K38:K39"/>
    <mergeCell ref="L38:L39"/>
    <mergeCell ref="A36:A37"/>
    <mergeCell ref="B36:B37"/>
    <mergeCell ref="C36:C37"/>
    <mergeCell ref="D36:D37"/>
    <mergeCell ref="E36:E37"/>
    <mergeCell ref="F36:F37"/>
    <mergeCell ref="G36:G37"/>
    <mergeCell ref="I36:I37"/>
    <mergeCell ref="J36:J37"/>
    <mergeCell ref="A34:A35"/>
    <mergeCell ref="B34:B35"/>
    <mergeCell ref="C34:C35"/>
    <mergeCell ref="D34:D35"/>
    <mergeCell ref="E34:E35"/>
    <mergeCell ref="F34:F35"/>
    <mergeCell ref="G34:G35"/>
    <mergeCell ref="I34:I35"/>
    <mergeCell ref="J34:J35"/>
    <mergeCell ref="A32:A33"/>
    <mergeCell ref="B32:B33"/>
    <mergeCell ref="C32:C33"/>
    <mergeCell ref="D32:D33"/>
    <mergeCell ref="E32:E33"/>
    <mergeCell ref="F32:F33"/>
    <mergeCell ref="G32:G33"/>
    <mergeCell ref="I32:I33"/>
    <mergeCell ref="J32:J33"/>
    <mergeCell ref="D30:D31"/>
    <mergeCell ref="E30:E31"/>
    <mergeCell ref="F30:F31"/>
    <mergeCell ref="G30:G31"/>
    <mergeCell ref="I30:I31"/>
    <mergeCell ref="J30:J31"/>
    <mergeCell ref="K30:K31"/>
    <mergeCell ref="L30:L31"/>
    <mergeCell ref="A28:A29"/>
    <mergeCell ref="B28:B29"/>
    <mergeCell ref="C28:C29"/>
    <mergeCell ref="D28:D29"/>
    <mergeCell ref="E28:E29"/>
    <mergeCell ref="F28:F29"/>
    <mergeCell ref="G28:G29"/>
    <mergeCell ref="I28:I29"/>
    <mergeCell ref="J28:J29"/>
    <mergeCell ref="K28:K29"/>
    <mergeCell ref="L28:L29"/>
    <mergeCell ref="A30:A31"/>
    <mergeCell ref="B30:B31"/>
    <mergeCell ref="C30:C31"/>
    <mergeCell ref="A26:A27"/>
    <mergeCell ref="B26:B27"/>
    <mergeCell ref="C26:C27"/>
    <mergeCell ref="D26:D27"/>
    <mergeCell ref="E26:E27"/>
    <mergeCell ref="F26:F27"/>
    <mergeCell ref="G26:G27"/>
    <mergeCell ref="I26:I27"/>
    <mergeCell ref="J26:J27"/>
    <mergeCell ref="F12:F13"/>
    <mergeCell ref="K24:K25"/>
    <mergeCell ref="L24:L25"/>
    <mergeCell ref="E18:E19"/>
    <mergeCell ref="E12:E13"/>
    <mergeCell ref="L20:L21"/>
    <mergeCell ref="K22:K23"/>
    <mergeCell ref="A20:A21"/>
    <mergeCell ref="B20:B21"/>
    <mergeCell ref="C20:C21"/>
    <mergeCell ref="L22:L23"/>
    <mergeCell ref="I20:I21"/>
    <mergeCell ref="J20:J21"/>
    <mergeCell ref="K20:K21"/>
    <mergeCell ref="F20:F21"/>
    <mergeCell ref="G22:G23"/>
    <mergeCell ref="A22:A23"/>
    <mergeCell ref="A24:A25"/>
    <mergeCell ref="B24:B25"/>
    <mergeCell ref="C24:C25"/>
    <mergeCell ref="D24:D25"/>
    <mergeCell ref="E24:E25"/>
    <mergeCell ref="F24:F25"/>
    <mergeCell ref="G24:G25"/>
    <mergeCell ref="C10:C11"/>
    <mergeCell ref="D10:D11"/>
    <mergeCell ref="B10:B11"/>
    <mergeCell ref="P10:P11"/>
    <mergeCell ref="A10:A11"/>
    <mergeCell ref="N10:N11"/>
    <mergeCell ref="M10:M11"/>
    <mergeCell ref="F10:I10"/>
    <mergeCell ref="J10:J11"/>
    <mergeCell ref="K10:K11"/>
    <mergeCell ref="L10:L11"/>
    <mergeCell ref="F14:F15"/>
    <mergeCell ref="A18:A19"/>
    <mergeCell ref="B18:B19"/>
    <mergeCell ref="C18:C19"/>
    <mergeCell ref="A1:C1"/>
    <mergeCell ref="A2:C2"/>
    <mergeCell ref="K12:K13"/>
    <mergeCell ref="G1:O1"/>
    <mergeCell ref="G2:O2"/>
    <mergeCell ref="G4:O4"/>
    <mergeCell ref="A6:P6"/>
    <mergeCell ref="G18:G19"/>
    <mergeCell ref="I18:I19"/>
    <mergeCell ref="K14:K15"/>
    <mergeCell ref="D18:D19"/>
    <mergeCell ref="E14:E15"/>
    <mergeCell ref="L12:L13"/>
    <mergeCell ref="A14:A15"/>
    <mergeCell ref="C12:C13"/>
    <mergeCell ref="D12:D13"/>
    <mergeCell ref="A7:P7"/>
    <mergeCell ref="E10:E11"/>
    <mergeCell ref="A8:P8"/>
    <mergeCell ref="O10:O11"/>
    <mergeCell ref="L14:L15"/>
    <mergeCell ref="F18:F19"/>
    <mergeCell ref="A3:C3"/>
    <mergeCell ref="I22:I23"/>
    <mergeCell ref="J22:J23"/>
    <mergeCell ref="G20:G21"/>
    <mergeCell ref="F22:F23"/>
    <mergeCell ref="J18:J19"/>
    <mergeCell ref="J14:J15"/>
    <mergeCell ref="K18:K19"/>
    <mergeCell ref="A12:A13"/>
    <mergeCell ref="B12:B13"/>
    <mergeCell ref="B14:B15"/>
    <mergeCell ref="G12:G13"/>
    <mergeCell ref="I12:I13"/>
    <mergeCell ref="J12:J13"/>
    <mergeCell ref="G14:G15"/>
    <mergeCell ref="I14:I15"/>
    <mergeCell ref="C14:C15"/>
    <mergeCell ref="D14:D15"/>
    <mergeCell ref="B22:B23"/>
    <mergeCell ref="C22:C23"/>
    <mergeCell ref="D22:D23"/>
    <mergeCell ref="E22:E23"/>
    <mergeCell ref="C48:C49"/>
    <mergeCell ref="D48:D49"/>
    <mergeCell ref="E48:E49"/>
    <mergeCell ref="F48:F49"/>
    <mergeCell ref="G48:G49"/>
    <mergeCell ref="I48:I49"/>
    <mergeCell ref="J48:J49"/>
    <mergeCell ref="K48:K49"/>
    <mergeCell ref="C46:C47"/>
    <mergeCell ref="D46:D47"/>
    <mergeCell ref="E46:E47"/>
    <mergeCell ref="F46:F47"/>
    <mergeCell ref="G46:G47"/>
    <mergeCell ref="I46:I47"/>
    <mergeCell ref="J46:J47"/>
    <mergeCell ref="K32:K33"/>
    <mergeCell ref="L32:L33"/>
    <mergeCell ref="K46:K47"/>
    <mergeCell ref="L46:L47"/>
    <mergeCell ref="K34:K35"/>
    <mergeCell ref="L34:L35"/>
    <mergeCell ref="K16:K17"/>
    <mergeCell ref="L16:L17"/>
    <mergeCell ref="A16:A17"/>
    <mergeCell ref="B16:B17"/>
    <mergeCell ref="C16:C17"/>
    <mergeCell ref="D16:D17"/>
    <mergeCell ref="E16:E17"/>
    <mergeCell ref="F16:F17"/>
    <mergeCell ref="G16:G17"/>
    <mergeCell ref="I16:I17"/>
    <mergeCell ref="J16:J17"/>
    <mergeCell ref="L18:L19"/>
    <mergeCell ref="E20:E21"/>
    <mergeCell ref="D20:D21"/>
    <mergeCell ref="K26:K27"/>
    <mergeCell ref="L26:L27"/>
    <mergeCell ref="I24:I25"/>
    <mergeCell ref="J24:J25"/>
  </mergeCells>
  <phoneticPr fontId="31" type="noConversion"/>
  <printOptions horizontalCentered="1"/>
  <pageMargins left="0.5" right="0" top="0.5" bottom="0.4" header="0.25" footer="0.15"/>
  <pageSetup paperSize="9" scale="70"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E71"/>
  <sheetViews>
    <sheetView topLeftCell="A52" zoomScale="85" zoomScaleNormal="85" workbookViewId="0">
      <selection activeCell="O57" sqref="O57"/>
    </sheetView>
  </sheetViews>
  <sheetFormatPr defaultColWidth="8" defaultRowHeight="15" x14ac:dyDescent="0.2"/>
  <cols>
    <col min="1" max="1" width="5.625" style="32" customWidth="1"/>
    <col min="2" max="2" width="11" style="32" customWidth="1"/>
    <col min="3" max="3" width="47.5" style="32" customWidth="1"/>
    <col min="4" max="4" width="6.375" style="32" customWidth="1"/>
    <col min="5" max="5" width="9.375" style="32" customWidth="1"/>
    <col min="6" max="7" width="6.5" style="32" customWidth="1"/>
    <col min="8" max="8" width="8.5" style="32" hidden="1" customWidth="1"/>
    <col min="9" max="9" width="6.125" style="32" customWidth="1"/>
    <col min="10" max="10" width="8.875" style="32" customWidth="1"/>
    <col min="11" max="11" width="8.875" style="28" customWidth="1"/>
    <col min="12" max="12" width="9.125" style="28" customWidth="1"/>
    <col min="13" max="13" width="11.5" style="28" customWidth="1"/>
    <col min="14" max="14" width="10.5" style="28" customWidth="1"/>
    <col min="15" max="15" width="25.625" style="28" customWidth="1"/>
    <col min="16" max="16" width="12.5" style="28" customWidth="1"/>
    <col min="17" max="17" width="1.5" style="28" customWidth="1"/>
    <col min="18" max="256" width="8" style="28"/>
    <col min="257" max="257" width="5.625" style="28" customWidth="1"/>
    <col min="258" max="258" width="11" style="28" customWidth="1"/>
    <col min="259" max="259" width="47.5" style="28" customWidth="1"/>
    <col min="260" max="260" width="6.375" style="28" customWidth="1"/>
    <col min="261" max="261" width="9.375" style="28" customWidth="1"/>
    <col min="262" max="263" width="6.5" style="28" customWidth="1"/>
    <col min="264" max="264" width="0" style="28" hidden="1" customWidth="1"/>
    <col min="265" max="265" width="6.125" style="28" customWidth="1"/>
    <col min="266" max="267" width="8.875" style="28" customWidth="1"/>
    <col min="268" max="268" width="9.125" style="28" customWidth="1"/>
    <col min="269" max="269" width="11.5" style="28" customWidth="1"/>
    <col min="270" max="270" width="10.5" style="28" customWidth="1"/>
    <col min="271" max="271" width="25.625" style="28" customWidth="1"/>
    <col min="272" max="272" width="12.5" style="28" customWidth="1"/>
    <col min="273" max="273" width="1.5" style="28" customWidth="1"/>
    <col min="274" max="512" width="8" style="28"/>
    <col min="513" max="513" width="5.625" style="28" customWidth="1"/>
    <col min="514" max="514" width="11" style="28" customWidth="1"/>
    <col min="515" max="515" width="47.5" style="28" customWidth="1"/>
    <col min="516" max="516" width="6.375" style="28" customWidth="1"/>
    <col min="517" max="517" width="9.375" style="28" customWidth="1"/>
    <col min="518" max="519" width="6.5" style="28" customWidth="1"/>
    <col min="520" max="520" width="0" style="28" hidden="1" customWidth="1"/>
    <col min="521" max="521" width="6.125" style="28" customWidth="1"/>
    <col min="522" max="523" width="8.875" style="28" customWidth="1"/>
    <col min="524" max="524" width="9.125" style="28" customWidth="1"/>
    <col min="525" max="525" width="11.5" style="28" customWidth="1"/>
    <col min="526" max="526" width="10.5" style="28" customWidth="1"/>
    <col min="527" max="527" width="25.625" style="28" customWidth="1"/>
    <col min="528" max="528" width="12.5" style="28" customWidth="1"/>
    <col min="529" max="529" width="1.5" style="28" customWidth="1"/>
    <col min="530" max="768" width="8" style="28"/>
    <col min="769" max="769" width="5.625" style="28" customWidth="1"/>
    <col min="770" max="770" width="11" style="28" customWidth="1"/>
    <col min="771" max="771" width="47.5" style="28" customWidth="1"/>
    <col min="772" max="772" width="6.375" style="28" customWidth="1"/>
    <col min="773" max="773" width="9.375" style="28" customWidth="1"/>
    <col min="774" max="775" width="6.5" style="28" customWidth="1"/>
    <col min="776" max="776" width="0" style="28" hidden="1" customWidth="1"/>
    <col min="777" max="777" width="6.125" style="28" customWidth="1"/>
    <col min="778" max="779" width="8.875" style="28" customWidth="1"/>
    <col min="780" max="780" width="9.125" style="28" customWidth="1"/>
    <col min="781" max="781" width="11.5" style="28" customWidth="1"/>
    <col min="782" max="782" width="10.5" style="28" customWidth="1"/>
    <col min="783" max="783" width="25.625" style="28" customWidth="1"/>
    <col min="784" max="784" width="12.5" style="28" customWidth="1"/>
    <col min="785" max="785" width="1.5" style="28" customWidth="1"/>
    <col min="786" max="1024" width="8" style="28"/>
    <col min="1025" max="1025" width="5.625" style="28" customWidth="1"/>
    <col min="1026" max="1026" width="11" style="28" customWidth="1"/>
    <col min="1027" max="1027" width="47.5" style="28" customWidth="1"/>
    <col min="1028" max="1028" width="6.375" style="28" customWidth="1"/>
    <col min="1029" max="1029" width="9.375" style="28" customWidth="1"/>
    <col min="1030" max="1031" width="6.5" style="28" customWidth="1"/>
    <col min="1032" max="1032" width="0" style="28" hidden="1" customWidth="1"/>
    <col min="1033" max="1033" width="6.125" style="28" customWidth="1"/>
    <col min="1034" max="1035" width="8.875" style="28" customWidth="1"/>
    <col min="1036" max="1036" width="9.125" style="28" customWidth="1"/>
    <col min="1037" max="1037" width="11.5" style="28" customWidth="1"/>
    <col min="1038" max="1038" width="10.5" style="28" customWidth="1"/>
    <col min="1039" max="1039" width="25.625" style="28" customWidth="1"/>
    <col min="1040" max="1040" width="12.5" style="28" customWidth="1"/>
    <col min="1041" max="1041" width="1.5" style="28" customWidth="1"/>
    <col min="1042" max="1280" width="8" style="28"/>
    <col min="1281" max="1281" width="5.625" style="28" customWidth="1"/>
    <col min="1282" max="1282" width="11" style="28" customWidth="1"/>
    <col min="1283" max="1283" width="47.5" style="28" customWidth="1"/>
    <col min="1284" max="1284" width="6.375" style="28" customWidth="1"/>
    <col min="1285" max="1285" width="9.375" style="28" customWidth="1"/>
    <col min="1286" max="1287" width="6.5" style="28" customWidth="1"/>
    <col min="1288" max="1288" width="0" style="28" hidden="1" customWidth="1"/>
    <col min="1289" max="1289" width="6.125" style="28" customWidth="1"/>
    <col min="1290" max="1291" width="8.875" style="28" customWidth="1"/>
    <col min="1292" max="1292" width="9.125" style="28" customWidth="1"/>
    <col min="1293" max="1293" width="11.5" style="28" customWidth="1"/>
    <col min="1294" max="1294" width="10.5" style="28" customWidth="1"/>
    <col min="1295" max="1295" width="25.625" style="28" customWidth="1"/>
    <col min="1296" max="1296" width="12.5" style="28" customWidth="1"/>
    <col min="1297" max="1297" width="1.5" style="28" customWidth="1"/>
    <col min="1298" max="1536" width="8" style="28"/>
    <col min="1537" max="1537" width="5.625" style="28" customWidth="1"/>
    <col min="1538" max="1538" width="11" style="28" customWidth="1"/>
    <col min="1539" max="1539" width="47.5" style="28" customWidth="1"/>
    <col min="1540" max="1540" width="6.375" style="28" customWidth="1"/>
    <col min="1541" max="1541" width="9.375" style="28" customWidth="1"/>
    <col min="1542" max="1543" width="6.5" style="28" customWidth="1"/>
    <col min="1544" max="1544" width="0" style="28" hidden="1" customWidth="1"/>
    <col min="1545" max="1545" width="6.125" style="28" customWidth="1"/>
    <col min="1546" max="1547" width="8.875" style="28" customWidth="1"/>
    <col min="1548" max="1548" width="9.125" style="28" customWidth="1"/>
    <col min="1549" max="1549" width="11.5" style="28" customWidth="1"/>
    <col min="1550" max="1550" width="10.5" style="28" customWidth="1"/>
    <col min="1551" max="1551" width="25.625" style="28" customWidth="1"/>
    <col min="1552" max="1552" width="12.5" style="28" customWidth="1"/>
    <col min="1553" max="1553" width="1.5" style="28" customWidth="1"/>
    <col min="1554" max="1792" width="8" style="28"/>
    <col min="1793" max="1793" width="5.625" style="28" customWidth="1"/>
    <col min="1794" max="1794" width="11" style="28" customWidth="1"/>
    <col min="1795" max="1795" width="47.5" style="28" customWidth="1"/>
    <col min="1796" max="1796" width="6.375" style="28" customWidth="1"/>
    <col min="1797" max="1797" width="9.375" style="28" customWidth="1"/>
    <col min="1798" max="1799" width="6.5" style="28" customWidth="1"/>
    <col min="1800" max="1800" width="0" style="28" hidden="1" customWidth="1"/>
    <col min="1801" max="1801" width="6.125" style="28" customWidth="1"/>
    <col min="1802" max="1803" width="8.875" style="28" customWidth="1"/>
    <col min="1804" max="1804" width="9.125" style="28" customWidth="1"/>
    <col min="1805" max="1805" width="11.5" style="28" customWidth="1"/>
    <col min="1806" max="1806" width="10.5" style="28" customWidth="1"/>
    <col min="1807" max="1807" width="25.625" style="28" customWidth="1"/>
    <col min="1808" max="1808" width="12.5" style="28" customWidth="1"/>
    <col min="1809" max="1809" width="1.5" style="28" customWidth="1"/>
    <col min="1810" max="2048" width="8" style="28"/>
    <col min="2049" max="2049" width="5.625" style="28" customWidth="1"/>
    <col min="2050" max="2050" width="11" style="28" customWidth="1"/>
    <col min="2051" max="2051" width="47.5" style="28" customWidth="1"/>
    <col min="2052" max="2052" width="6.375" style="28" customWidth="1"/>
    <col min="2053" max="2053" width="9.375" style="28" customWidth="1"/>
    <col min="2054" max="2055" width="6.5" style="28" customWidth="1"/>
    <col min="2056" max="2056" width="0" style="28" hidden="1" customWidth="1"/>
    <col min="2057" max="2057" width="6.125" style="28" customWidth="1"/>
    <col min="2058" max="2059" width="8.875" style="28" customWidth="1"/>
    <col min="2060" max="2060" width="9.125" style="28" customWidth="1"/>
    <col min="2061" max="2061" width="11.5" style="28" customWidth="1"/>
    <col min="2062" max="2062" width="10.5" style="28" customWidth="1"/>
    <col min="2063" max="2063" width="25.625" style="28" customWidth="1"/>
    <col min="2064" max="2064" width="12.5" style="28" customWidth="1"/>
    <col min="2065" max="2065" width="1.5" style="28" customWidth="1"/>
    <col min="2066" max="2304" width="8" style="28"/>
    <col min="2305" max="2305" width="5.625" style="28" customWidth="1"/>
    <col min="2306" max="2306" width="11" style="28" customWidth="1"/>
    <col min="2307" max="2307" width="47.5" style="28" customWidth="1"/>
    <col min="2308" max="2308" width="6.375" style="28" customWidth="1"/>
    <col min="2309" max="2309" width="9.375" style="28" customWidth="1"/>
    <col min="2310" max="2311" width="6.5" style="28" customWidth="1"/>
    <col min="2312" max="2312" width="0" style="28" hidden="1" customWidth="1"/>
    <col min="2313" max="2313" width="6.125" style="28" customWidth="1"/>
    <col min="2314" max="2315" width="8.875" style="28" customWidth="1"/>
    <col min="2316" max="2316" width="9.125" style="28" customWidth="1"/>
    <col min="2317" max="2317" width="11.5" style="28" customWidth="1"/>
    <col min="2318" max="2318" width="10.5" style="28" customWidth="1"/>
    <col min="2319" max="2319" width="25.625" style="28" customWidth="1"/>
    <col min="2320" max="2320" width="12.5" style="28" customWidth="1"/>
    <col min="2321" max="2321" width="1.5" style="28" customWidth="1"/>
    <col min="2322" max="2560" width="8" style="28"/>
    <col min="2561" max="2561" width="5.625" style="28" customWidth="1"/>
    <col min="2562" max="2562" width="11" style="28" customWidth="1"/>
    <col min="2563" max="2563" width="47.5" style="28" customWidth="1"/>
    <col min="2564" max="2564" width="6.375" style="28" customWidth="1"/>
    <col min="2565" max="2565" width="9.375" style="28" customWidth="1"/>
    <col min="2566" max="2567" width="6.5" style="28" customWidth="1"/>
    <col min="2568" max="2568" width="0" style="28" hidden="1" customWidth="1"/>
    <col min="2569" max="2569" width="6.125" style="28" customWidth="1"/>
    <col min="2570" max="2571" width="8.875" style="28" customWidth="1"/>
    <col min="2572" max="2572" width="9.125" style="28" customWidth="1"/>
    <col min="2573" max="2573" width="11.5" style="28" customWidth="1"/>
    <col min="2574" max="2574" width="10.5" style="28" customWidth="1"/>
    <col min="2575" max="2575" width="25.625" style="28" customWidth="1"/>
    <col min="2576" max="2576" width="12.5" style="28" customWidth="1"/>
    <col min="2577" max="2577" width="1.5" style="28" customWidth="1"/>
    <col min="2578" max="2816" width="8" style="28"/>
    <col min="2817" max="2817" width="5.625" style="28" customWidth="1"/>
    <col min="2818" max="2818" width="11" style="28" customWidth="1"/>
    <col min="2819" max="2819" width="47.5" style="28" customWidth="1"/>
    <col min="2820" max="2820" width="6.375" style="28" customWidth="1"/>
    <col min="2821" max="2821" width="9.375" style="28" customWidth="1"/>
    <col min="2822" max="2823" width="6.5" style="28" customWidth="1"/>
    <col min="2824" max="2824" width="0" style="28" hidden="1" customWidth="1"/>
    <col min="2825" max="2825" width="6.125" style="28" customWidth="1"/>
    <col min="2826" max="2827" width="8.875" style="28" customWidth="1"/>
    <col min="2828" max="2828" width="9.125" style="28" customWidth="1"/>
    <col min="2829" max="2829" width="11.5" style="28" customWidth="1"/>
    <col min="2830" max="2830" width="10.5" style="28" customWidth="1"/>
    <col min="2831" max="2831" width="25.625" style="28" customWidth="1"/>
    <col min="2832" max="2832" width="12.5" style="28" customWidth="1"/>
    <col min="2833" max="2833" width="1.5" style="28" customWidth="1"/>
    <col min="2834" max="3072" width="8" style="28"/>
    <col min="3073" max="3073" width="5.625" style="28" customWidth="1"/>
    <col min="3074" max="3074" width="11" style="28" customWidth="1"/>
    <col min="3075" max="3075" width="47.5" style="28" customWidth="1"/>
    <col min="3076" max="3076" width="6.375" style="28" customWidth="1"/>
    <col min="3077" max="3077" width="9.375" style="28" customWidth="1"/>
    <col min="3078" max="3079" width="6.5" style="28" customWidth="1"/>
    <col min="3080" max="3080" width="0" style="28" hidden="1" customWidth="1"/>
    <col min="3081" max="3081" width="6.125" style="28" customWidth="1"/>
    <col min="3082" max="3083" width="8.875" style="28" customWidth="1"/>
    <col min="3084" max="3084" width="9.125" style="28" customWidth="1"/>
    <col min="3085" max="3085" width="11.5" style="28" customWidth="1"/>
    <col min="3086" max="3086" width="10.5" style="28" customWidth="1"/>
    <col min="3087" max="3087" width="25.625" style="28" customWidth="1"/>
    <col min="3088" max="3088" width="12.5" style="28" customWidth="1"/>
    <col min="3089" max="3089" width="1.5" style="28" customWidth="1"/>
    <col min="3090" max="3328" width="8" style="28"/>
    <col min="3329" max="3329" width="5.625" style="28" customWidth="1"/>
    <col min="3330" max="3330" width="11" style="28" customWidth="1"/>
    <col min="3331" max="3331" width="47.5" style="28" customWidth="1"/>
    <col min="3332" max="3332" width="6.375" style="28" customWidth="1"/>
    <col min="3333" max="3333" width="9.375" style="28" customWidth="1"/>
    <col min="3334" max="3335" width="6.5" style="28" customWidth="1"/>
    <col min="3336" max="3336" width="0" style="28" hidden="1" customWidth="1"/>
    <col min="3337" max="3337" width="6.125" style="28" customWidth="1"/>
    <col min="3338" max="3339" width="8.875" style="28" customWidth="1"/>
    <col min="3340" max="3340" width="9.125" style="28" customWidth="1"/>
    <col min="3341" max="3341" width="11.5" style="28" customWidth="1"/>
    <col min="3342" max="3342" width="10.5" style="28" customWidth="1"/>
    <col min="3343" max="3343" width="25.625" style="28" customWidth="1"/>
    <col min="3344" max="3344" width="12.5" style="28" customWidth="1"/>
    <col min="3345" max="3345" width="1.5" style="28" customWidth="1"/>
    <col min="3346" max="3584" width="8" style="28"/>
    <col min="3585" max="3585" width="5.625" style="28" customWidth="1"/>
    <col min="3586" max="3586" width="11" style="28" customWidth="1"/>
    <col min="3587" max="3587" width="47.5" style="28" customWidth="1"/>
    <col min="3588" max="3588" width="6.375" style="28" customWidth="1"/>
    <col min="3589" max="3589" width="9.375" style="28" customWidth="1"/>
    <col min="3590" max="3591" width="6.5" style="28" customWidth="1"/>
    <col min="3592" max="3592" width="0" style="28" hidden="1" customWidth="1"/>
    <col min="3593" max="3593" width="6.125" style="28" customWidth="1"/>
    <col min="3594" max="3595" width="8.875" style="28" customWidth="1"/>
    <col min="3596" max="3596" width="9.125" style="28" customWidth="1"/>
    <col min="3597" max="3597" width="11.5" style="28" customWidth="1"/>
    <col min="3598" max="3598" width="10.5" style="28" customWidth="1"/>
    <col min="3599" max="3599" width="25.625" style="28" customWidth="1"/>
    <col min="3600" max="3600" width="12.5" style="28" customWidth="1"/>
    <col min="3601" max="3601" width="1.5" style="28" customWidth="1"/>
    <col min="3602" max="3840" width="8" style="28"/>
    <col min="3841" max="3841" width="5.625" style="28" customWidth="1"/>
    <col min="3842" max="3842" width="11" style="28" customWidth="1"/>
    <col min="3843" max="3843" width="47.5" style="28" customWidth="1"/>
    <col min="3844" max="3844" width="6.375" style="28" customWidth="1"/>
    <col min="3845" max="3845" width="9.375" style="28" customWidth="1"/>
    <col min="3846" max="3847" width="6.5" style="28" customWidth="1"/>
    <col min="3848" max="3848" width="0" style="28" hidden="1" customWidth="1"/>
    <col min="3849" max="3849" width="6.125" style="28" customWidth="1"/>
    <col min="3850" max="3851" width="8.875" style="28" customWidth="1"/>
    <col min="3852" max="3852" width="9.125" style="28" customWidth="1"/>
    <col min="3853" max="3853" width="11.5" style="28" customWidth="1"/>
    <col min="3854" max="3854" width="10.5" style="28" customWidth="1"/>
    <col min="3855" max="3855" width="25.625" style="28" customWidth="1"/>
    <col min="3856" max="3856" width="12.5" style="28" customWidth="1"/>
    <col min="3857" max="3857" width="1.5" style="28" customWidth="1"/>
    <col min="3858" max="4096" width="8" style="28"/>
    <col min="4097" max="4097" width="5.625" style="28" customWidth="1"/>
    <col min="4098" max="4098" width="11" style="28" customWidth="1"/>
    <col min="4099" max="4099" width="47.5" style="28" customWidth="1"/>
    <col min="4100" max="4100" width="6.375" style="28" customWidth="1"/>
    <col min="4101" max="4101" width="9.375" style="28" customWidth="1"/>
    <col min="4102" max="4103" width="6.5" style="28" customWidth="1"/>
    <col min="4104" max="4104" width="0" style="28" hidden="1" customWidth="1"/>
    <col min="4105" max="4105" width="6.125" style="28" customWidth="1"/>
    <col min="4106" max="4107" width="8.875" style="28" customWidth="1"/>
    <col min="4108" max="4108" width="9.125" style="28" customWidth="1"/>
    <col min="4109" max="4109" width="11.5" style="28" customWidth="1"/>
    <col min="4110" max="4110" width="10.5" style="28" customWidth="1"/>
    <col min="4111" max="4111" width="25.625" style="28" customWidth="1"/>
    <col min="4112" max="4112" width="12.5" style="28" customWidth="1"/>
    <col min="4113" max="4113" width="1.5" style="28" customWidth="1"/>
    <col min="4114" max="4352" width="8" style="28"/>
    <col min="4353" max="4353" width="5.625" style="28" customWidth="1"/>
    <col min="4354" max="4354" width="11" style="28" customWidth="1"/>
    <col min="4355" max="4355" width="47.5" style="28" customWidth="1"/>
    <col min="4356" max="4356" width="6.375" style="28" customWidth="1"/>
    <col min="4357" max="4357" width="9.375" style="28" customWidth="1"/>
    <col min="4358" max="4359" width="6.5" style="28" customWidth="1"/>
    <col min="4360" max="4360" width="0" style="28" hidden="1" customWidth="1"/>
    <col min="4361" max="4361" width="6.125" style="28" customWidth="1"/>
    <col min="4362" max="4363" width="8.875" style="28" customWidth="1"/>
    <col min="4364" max="4364" width="9.125" style="28" customWidth="1"/>
    <col min="4365" max="4365" width="11.5" style="28" customWidth="1"/>
    <col min="4366" max="4366" width="10.5" style="28" customWidth="1"/>
    <col min="4367" max="4367" width="25.625" style="28" customWidth="1"/>
    <col min="4368" max="4368" width="12.5" style="28" customWidth="1"/>
    <col min="4369" max="4369" width="1.5" style="28" customWidth="1"/>
    <col min="4370" max="4608" width="8" style="28"/>
    <col min="4609" max="4609" width="5.625" style="28" customWidth="1"/>
    <col min="4610" max="4610" width="11" style="28" customWidth="1"/>
    <col min="4611" max="4611" width="47.5" style="28" customWidth="1"/>
    <col min="4612" max="4612" width="6.375" style="28" customWidth="1"/>
    <col min="4613" max="4613" width="9.375" style="28" customWidth="1"/>
    <col min="4614" max="4615" width="6.5" style="28" customWidth="1"/>
    <col min="4616" max="4616" width="0" style="28" hidden="1" customWidth="1"/>
    <col min="4617" max="4617" width="6.125" style="28" customWidth="1"/>
    <col min="4618" max="4619" width="8.875" style="28" customWidth="1"/>
    <col min="4620" max="4620" width="9.125" style="28" customWidth="1"/>
    <col min="4621" max="4621" width="11.5" style="28" customWidth="1"/>
    <col min="4622" max="4622" width="10.5" style="28" customWidth="1"/>
    <col min="4623" max="4623" width="25.625" style="28" customWidth="1"/>
    <col min="4624" max="4624" width="12.5" style="28" customWidth="1"/>
    <col min="4625" max="4625" width="1.5" style="28" customWidth="1"/>
    <col min="4626" max="4864" width="8" style="28"/>
    <col min="4865" max="4865" width="5.625" style="28" customWidth="1"/>
    <col min="4866" max="4866" width="11" style="28" customWidth="1"/>
    <col min="4867" max="4867" width="47.5" style="28" customWidth="1"/>
    <col min="4868" max="4868" width="6.375" style="28" customWidth="1"/>
    <col min="4869" max="4869" width="9.375" style="28" customWidth="1"/>
    <col min="4870" max="4871" width="6.5" style="28" customWidth="1"/>
    <col min="4872" max="4872" width="0" style="28" hidden="1" customWidth="1"/>
    <col min="4873" max="4873" width="6.125" style="28" customWidth="1"/>
    <col min="4874" max="4875" width="8.875" style="28" customWidth="1"/>
    <col min="4876" max="4876" width="9.125" style="28" customWidth="1"/>
    <col min="4877" max="4877" width="11.5" style="28" customWidth="1"/>
    <col min="4878" max="4878" width="10.5" style="28" customWidth="1"/>
    <col min="4879" max="4879" width="25.625" style="28" customWidth="1"/>
    <col min="4880" max="4880" width="12.5" style="28" customWidth="1"/>
    <col min="4881" max="4881" width="1.5" style="28" customWidth="1"/>
    <col min="4882" max="5120" width="8" style="28"/>
    <col min="5121" max="5121" width="5.625" style="28" customWidth="1"/>
    <col min="5122" max="5122" width="11" style="28" customWidth="1"/>
    <col min="5123" max="5123" width="47.5" style="28" customWidth="1"/>
    <col min="5124" max="5124" width="6.375" style="28" customWidth="1"/>
    <col min="5125" max="5125" width="9.375" style="28" customWidth="1"/>
    <col min="5126" max="5127" width="6.5" style="28" customWidth="1"/>
    <col min="5128" max="5128" width="0" style="28" hidden="1" customWidth="1"/>
    <col min="5129" max="5129" width="6.125" style="28" customWidth="1"/>
    <col min="5130" max="5131" width="8.875" style="28" customWidth="1"/>
    <col min="5132" max="5132" width="9.125" style="28" customWidth="1"/>
    <col min="5133" max="5133" width="11.5" style="28" customWidth="1"/>
    <col min="5134" max="5134" width="10.5" style="28" customWidth="1"/>
    <col min="5135" max="5135" width="25.625" style="28" customWidth="1"/>
    <col min="5136" max="5136" width="12.5" style="28" customWidth="1"/>
    <col min="5137" max="5137" width="1.5" style="28" customWidth="1"/>
    <col min="5138" max="5376" width="8" style="28"/>
    <col min="5377" max="5377" width="5.625" style="28" customWidth="1"/>
    <col min="5378" max="5378" width="11" style="28" customWidth="1"/>
    <col min="5379" max="5379" width="47.5" style="28" customWidth="1"/>
    <col min="5380" max="5380" width="6.375" style="28" customWidth="1"/>
    <col min="5381" max="5381" width="9.375" style="28" customWidth="1"/>
    <col min="5382" max="5383" width="6.5" style="28" customWidth="1"/>
    <col min="5384" max="5384" width="0" style="28" hidden="1" customWidth="1"/>
    <col min="5385" max="5385" width="6.125" style="28" customWidth="1"/>
    <col min="5386" max="5387" width="8.875" style="28" customWidth="1"/>
    <col min="5388" max="5388" width="9.125" style="28" customWidth="1"/>
    <col min="5389" max="5389" width="11.5" style="28" customWidth="1"/>
    <col min="5390" max="5390" width="10.5" style="28" customWidth="1"/>
    <col min="5391" max="5391" width="25.625" style="28" customWidth="1"/>
    <col min="5392" max="5392" width="12.5" style="28" customWidth="1"/>
    <col min="5393" max="5393" width="1.5" style="28" customWidth="1"/>
    <col min="5394" max="5632" width="8" style="28"/>
    <col min="5633" max="5633" width="5.625" style="28" customWidth="1"/>
    <col min="5634" max="5634" width="11" style="28" customWidth="1"/>
    <col min="5635" max="5635" width="47.5" style="28" customWidth="1"/>
    <col min="5636" max="5636" width="6.375" style="28" customWidth="1"/>
    <col min="5637" max="5637" width="9.375" style="28" customWidth="1"/>
    <col min="5638" max="5639" width="6.5" style="28" customWidth="1"/>
    <col min="5640" max="5640" width="0" style="28" hidden="1" customWidth="1"/>
    <col min="5641" max="5641" width="6.125" style="28" customWidth="1"/>
    <col min="5642" max="5643" width="8.875" style="28" customWidth="1"/>
    <col min="5644" max="5644" width="9.125" style="28" customWidth="1"/>
    <col min="5645" max="5645" width="11.5" style="28" customWidth="1"/>
    <col min="5646" max="5646" width="10.5" style="28" customWidth="1"/>
    <col min="5647" max="5647" width="25.625" style="28" customWidth="1"/>
    <col min="5648" max="5648" width="12.5" style="28" customWidth="1"/>
    <col min="5649" max="5649" width="1.5" style="28" customWidth="1"/>
    <col min="5650" max="5888" width="8" style="28"/>
    <col min="5889" max="5889" width="5.625" style="28" customWidth="1"/>
    <col min="5890" max="5890" width="11" style="28" customWidth="1"/>
    <col min="5891" max="5891" width="47.5" style="28" customWidth="1"/>
    <col min="5892" max="5892" width="6.375" style="28" customWidth="1"/>
    <col min="5893" max="5893" width="9.375" style="28" customWidth="1"/>
    <col min="5894" max="5895" width="6.5" style="28" customWidth="1"/>
    <col min="5896" max="5896" width="0" style="28" hidden="1" customWidth="1"/>
    <col min="5897" max="5897" width="6.125" style="28" customWidth="1"/>
    <col min="5898" max="5899" width="8.875" style="28" customWidth="1"/>
    <col min="5900" max="5900" width="9.125" style="28" customWidth="1"/>
    <col min="5901" max="5901" width="11.5" style="28" customWidth="1"/>
    <col min="5902" max="5902" width="10.5" style="28" customWidth="1"/>
    <col min="5903" max="5903" width="25.625" style="28" customWidth="1"/>
    <col min="5904" max="5904" width="12.5" style="28" customWidth="1"/>
    <col min="5905" max="5905" width="1.5" style="28" customWidth="1"/>
    <col min="5906" max="6144" width="8" style="28"/>
    <col min="6145" max="6145" width="5.625" style="28" customWidth="1"/>
    <col min="6146" max="6146" width="11" style="28" customWidth="1"/>
    <col min="6147" max="6147" width="47.5" style="28" customWidth="1"/>
    <col min="6148" max="6148" width="6.375" style="28" customWidth="1"/>
    <col min="6149" max="6149" width="9.375" style="28" customWidth="1"/>
    <col min="6150" max="6151" width="6.5" style="28" customWidth="1"/>
    <col min="6152" max="6152" width="0" style="28" hidden="1" customWidth="1"/>
    <col min="6153" max="6153" width="6.125" style="28" customWidth="1"/>
    <col min="6154" max="6155" width="8.875" style="28" customWidth="1"/>
    <col min="6156" max="6156" width="9.125" style="28" customWidth="1"/>
    <col min="6157" max="6157" width="11.5" style="28" customWidth="1"/>
    <col min="6158" max="6158" width="10.5" style="28" customWidth="1"/>
    <col min="6159" max="6159" width="25.625" style="28" customWidth="1"/>
    <col min="6160" max="6160" width="12.5" style="28" customWidth="1"/>
    <col min="6161" max="6161" width="1.5" style="28" customWidth="1"/>
    <col min="6162" max="6400" width="8" style="28"/>
    <col min="6401" max="6401" width="5.625" style="28" customWidth="1"/>
    <col min="6402" max="6402" width="11" style="28" customWidth="1"/>
    <col min="6403" max="6403" width="47.5" style="28" customWidth="1"/>
    <col min="6404" max="6404" width="6.375" style="28" customWidth="1"/>
    <col min="6405" max="6405" width="9.375" style="28" customWidth="1"/>
    <col min="6406" max="6407" width="6.5" style="28" customWidth="1"/>
    <col min="6408" max="6408" width="0" style="28" hidden="1" customWidth="1"/>
    <col min="6409" max="6409" width="6.125" style="28" customWidth="1"/>
    <col min="6410" max="6411" width="8.875" style="28" customWidth="1"/>
    <col min="6412" max="6412" width="9.125" style="28" customWidth="1"/>
    <col min="6413" max="6413" width="11.5" style="28" customWidth="1"/>
    <col min="6414" max="6414" width="10.5" style="28" customWidth="1"/>
    <col min="6415" max="6415" width="25.625" style="28" customWidth="1"/>
    <col min="6416" max="6416" width="12.5" style="28" customWidth="1"/>
    <col min="6417" max="6417" width="1.5" style="28" customWidth="1"/>
    <col min="6418" max="6656" width="8" style="28"/>
    <col min="6657" max="6657" width="5.625" style="28" customWidth="1"/>
    <col min="6658" max="6658" width="11" style="28" customWidth="1"/>
    <col min="6659" max="6659" width="47.5" style="28" customWidth="1"/>
    <col min="6660" max="6660" width="6.375" style="28" customWidth="1"/>
    <col min="6661" max="6661" width="9.375" style="28" customWidth="1"/>
    <col min="6662" max="6663" width="6.5" style="28" customWidth="1"/>
    <col min="6664" max="6664" width="0" style="28" hidden="1" customWidth="1"/>
    <col min="6665" max="6665" width="6.125" style="28" customWidth="1"/>
    <col min="6666" max="6667" width="8.875" style="28" customWidth="1"/>
    <col min="6668" max="6668" width="9.125" style="28" customWidth="1"/>
    <col min="6669" max="6669" width="11.5" style="28" customWidth="1"/>
    <col min="6670" max="6670" width="10.5" style="28" customWidth="1"/>
    <col min="6671" max="6671" width="25.625" style="28" customWidth="1"/>
    <col min="6672" max="6672" width="12.5" style="28" customWidth="1"/>
    <col min="6673" max="6673" width="1.5" style="28" customWidth="1"/>
    <col min="6674" max="6912" width="8" style="28"/>
    <col min="6913" max="6913" width="5.625" style="28" customWidth="1"/>
    <col min="6914" max="6914" width="11" style="28" customWidth="1"/>
    <col min="6915" max="6915" width="47.5" style="28" customWidth="1"/>
    <col min="6916" max="6916" width="6.375" style="28" customWidth="1"/>
    <col min="6917" max="6917" width="9.375" style="28" customWidth="1"/>
    <col min="6918" max="6919" width="6.5" style="28" customWidth="1"/>
    <col min="6920" max="6920" width="0" style="28" hidden="1" customWidth="1"/>
    <col min="6921" max="6921" width="6.125" style="28" customWidth="1"/>
    <col min="6922" max="6923" width="8.875" style="28" customWidth="1"/>
    <col min="6924" max="6924" width="9.125" style="28" customWidth="1"/>
    <col min="6925" max="6925" width="11.5" style="28" customWidth="1"/>
    <col min="6926" max="6926" width="10.5" style="28" customWidth="1"/>
    <col min="6927" max="6927" width="25.625" style="28" customWidth="1"/>
    <col min="6928" max="6928" width="12.5" style="28" customWidth="1"/>
    <col min="6929" max="6929" width="1.5" style="28" customWidth="1"/>
    <col min="6930" max="7168" width="8" style="28"/>
    <col min="7169" max="7169" width="5.625" style="28" customWidth="1"/>
    <col min="7170" max="7170" width="11" style="28" customWidth="1"/>
    <col min="7171" max="7171" width="47.5" style="28" customWidth="1"/>
    <col min="7172" max="7172" width="6.375" style="28" customWidth="1"/>
    <col min="7173" max="7173" width="9.375" style="28" customWidth="1"/>
    <col min="7174" max="7175" width="6.5" style="28" customWidth="1"/>
    <col min="7176" max="7176" width="0" style="28" hidden="1" customWidth="1"/>
    <col min="7177" max="7177" width="6.125" style="28" customWidth="1"/>
    <col min="7178" max="7179" width="8.875" style="28" customWidth="1"/>
    <col min="7180" max="7180" width="9.125" style="28" customWidth="1"/>
    <col min="7181" max="7181" width="11.5" style="28" customWidth="1"/>
    <col min="7182" max="7182" width="10.5" style="28" customWidth="1"/>
    <col min="7183" max="7183" width="25.625" style="28" customWidth="1"/>
    <col min="7184" max="7184" width="12.5" style="28" customWidth="1"/>
    <col min="7185" max="7185" width="1.5" style="28" customWidth="1"/>
    <col min="7186" max="7424" width="8" style="28"/>
    <col min="7425" max="7425" width="5.625" style="28" customWidth="1"/>
    <col min="7426" max="7426" width="11" style="28" customWidth="1"/>
    <col min="7427" max="7427" width="47.5" style="28" customWidth="1"/>
    <col min="7428" max="7428" width="6.375" style="28" customWidth="1"/>
    <col min="7429" max="7429" width="9.375" style="28" customWidth="1"/>
    <col min="7430" max="7431" width="6.5" style="28" customWidth="1"/>
    <col min="7432" max="7432" width="0" style="28" hidden="1" customWidth="1"/>
    <col min="7433" max="7433" width="6.125" style="28" customWidth="1"/>
    <col min="7434" max="7435" width="8.875" style="28" customWidth="1"/>
    <col min="7436" max="7436" width="9.125" style="28" customWidth="1"/>
    <col min="7437" max="7437" width="11.5" style="28" customWidth="1"/>
    <col min="7438" max="7438" width="10.5" style="28" customWidth="1"/>
    <col min="7439" max="7439" width="25.625" style="28" customWidth="1"/>
    <col min="7440" max="7440" width="12.5" style="28" customWidth="1"/>
    <col min="7441" max="7441" width="1.5" style="28" customWidth="1"/>
    <col min="7442" max="7680" width="8" style="28"/>
    <col min="7681" max="7681" width="5.625" style="28" customWidth="1"/>
    <col min="7682" max="7682" width="11" style="28" customWidth="1"/>
    <col min="7683" max="7683" width="47.5" style="28" customWidth="1"/>
    <col min="7684" max="7684" width="6.375" style="28" customWidth="1"/>
    <col min="7685" max="7685" width="9.375" style="28" customWidth="1"/>
    <col min="7686" max="7687" width="6.5" style="28" customWidth="1"/>
    <col min="7688" max="7688" width="0" style="28" hidden="1" customWidth="1"/>
    <col min="7689" max="7689" width="6.125" style="28" customWidth="1"/>
    <col min="7690" max="7691" width="8.875" style="28" customWidth="1"/>
    <col min="7692" max="7692" width="9.125" style="28" customWidth="1"/>
    <col min="7693" max="7693" width="11.5" style="28" customWidth="1"/>
    <col min="7694" max="7694" width="10.5" style="28" customWidth="1"/>
    <col min="7695" max="7695" width="25.625" style="28" customWidth="1"/>
    <col min="7696" max="7696" width="12.5" style="28" customWidth="1"/>
    <col min="7697" max="7697" width="1.5" style="28" customWidth="1"/>
    <col min="7698" max="7936" width="8" style="28"/>
    <col min="7937" max="7937" width="5.625" style="28" customWidth="1"/>
    <col min="7938" max="7938" width="11" style="28" customWidth="1"/>
    <col min="7939" max="7939" width="47.5" style="28" customWidth="1"/>
    <col min="7940" max="7940" width="6.375" style="28" customWidth="1"/>
    <col min="7941" max="7941" width="9.375" style="28" customWidth="1"/>
    <col min="7942" max="7943" width="6.5" style="28" customWidth="1"/>
    <col min="7944" max="7944" width="0" style="28" hidden="1" customWidth="1"/>
    <col min="7945" max="7945" width="6.125" style="28" customWidth="1"/>
    <col min="7946" max="7947" width="8.875" style="28" customWidth="1"/>
    <col min="7948" max="7948" width="9.125" style="28" customWidth="1"/>
    <col min="7949" max="7949" width="11.5" style="28" customWidth="1"/>
    <col min="7950" max="7950" width="10.5" style="28" customWidth="1"/>
    <col min="7951" max="7951" width="25.625" style="28" customWidth="1"/>
    <col min="7952" max="7952" width="12.5" style="28" customWidth="1"/>
    <col min="7953" max="7953" width="1.5" style="28" customWidth="1"/>
    <col min="7954" max="8192" width="8" style="28"/>
    <col min="8193" max="8193" width="5.625" style="28" customWidth="1"/>
    <col min="8194" max="8194" width="11" style="28" customWidth="1"/>
    <col min="8195" max="8195" width="47.5" style="28" customWidth="1"/>
    <col min="8196" max="8196" width="6.375" style="28" customWidth="1"/>
    <col min="8197" max="8197" width="9.375" style="28" customWidth="1"/>
    <col min="8198" max="8199" width="6.5" style="28" customWidth="1"/>
    <col min="8200" max="8200" width="0" style="28" hidden="1" customWidth="1"/>
    <col min="8201" max="8201" width="6.125" style="28" customWidth="1"/>
    <col min="8202" max="8203" width="8.875" style="28" customWidth="1"/>
    <col min="8204" max="8204" width="9.125" style="28" customWidth="1"/>
    <col min="8205" max="8205" width="11.5" style="28" customWidth="1"/>
    <col min="8206" max="8206" width="10.5" style="28" customWidth="1"/>
    <col min="8207" max="8207" width="25.625" style="28" customWidth="1"/>
    <col min="8208" max="8208" width="12.5" style="28" customWidth="1"/>
    <col min="8209" max="8209" width="1.5" style="28" customWidth="1"/>
    <col min="8210" max="8448" width="8" style="28"/>
    <col min="8449" max="8449" width="5.625" style="28" customWidth="1"/>
    <col min="8450" max="8450" width="11" style="28" customWidth="1"/>
    <col min="8451" max="8451" width="47.5" style="28" customWidth="1"/>
    <col min="8452" max="8452" width="6.375" style="28" customWidth="1"/>
    <col min="8453" max="8453" width="9.375" style="28" customWidth="1"/>
    <col min="8454" max="8455" width="6.5" style="28" customWidth="1"/>
    <col min="8456" max="8456" width="0" style="28" hidden="1" customWidth="1"/>
    <col min="8457" max="8457" width="6.125" style="28" customWidth="1"/>
    <col min="8458" max="8459" width="8.875" style="28" customWidth="1"/>
    <col min="8460" max="8460" width="9.125" style="28" customWidth="1"/>
    <col min="8461" max="8461" width="11.5" style="28" customWidth="1"/>
    <col min="8462" max="8462" width="10.5" style="28" customWidth="1"/>
    <col min="8463" max="8463" width="25.625" style="28" customWidth="1"/>
    <col min="8464" max="8464" width="12.5" style="28" customWidth="1"/>
    <col min="8465" max="8465" width="1.5" style="28" customWidth="1"/>
    <col min="8466" max="8704" width="8" style="28"/>
    <col min="8705" max="8705" width="5.625" style="28" customWidth="1"/>
    <col min="8706" max="8706" width="11" style="28" customWidth="1"/>
    <col min="8707" max="8707" width="47.5" style="28" customWidth="1"/>
    <col min="8708" max="8708" width="6.375" style="28" customWidth="1"/>
    <col min="8709" max="8709" width="9.375" style="28" customWidth="1"/>
    <col min="8710" max="8711" width="6.5" style="28" customWidth="1"/>
    <col min="8712" max="8712" width="0" style="28" hidden="1" customWidth="1"/>
    <col min="8713" max="8713" width="6.125" style="28" customWidth="1"/>
    <col min="8714" max="8715" width="8.875" style="28" customWidth="1"/>
    <col min="8716" max="8716" width="9.125" style="28" customWidth="1"/>
    <col min="8717" max="8717" width="11.5" style="28" customWidth="1"/>
    <col min="8718" max="8718" width="10.5" style="28" customWidth="1"/>
    <col min="8719" max="8719" width="25.625" style="28" customWidth="1"/>
    <col min="8720" max="8720" width="12.5" style="28" customWidth="1"/>
    <col min="8721" max="8721" width="1.5" style="28" customWidth="1"/>
    <col min="8722" max="8960" width="8" style="28"/>
    <col min="8961" max="8961" width="5.625" style="28" customWidth="1"/>
    <col min="8962" max="8962" width="11" style="28" customWidth="1"/>
    <col min="8963" max="8963" width="47.5" style="28" customWidth="1"/>
    <col min="8964" max="8964" width="6.375" style="28" customWidth="1"/>
    <col min="8965" max="8965" width="9.375" style="28" customWidth="1"/>
    <col min="8966" max="8967" width="6.5" style="28" customWidth="1"/>
    <col min="8968" max="8968" width="0" style="28" hidden="1" customWidth="1"/>
    <col min="8969" max="8969" width="6.125" style="28" customWidth="1"/>
    <col min="8970" max="8971" width="8.875" style="28" customWidth="1"/>
    <col min="8972" max="8972" width="9.125" style="28" customWidth="1"/>
    <col min="8973" max="8973" width="11.5" style="28" customWidth="1"/>
    <col min="8974" max="8974" width="10.5" style="28" customWidth="1"/>
    <col min="8975" max="8975" width="25.625" style="28" customWidth="1"/>
    <col min="8976" max="8976" width="12.5" style="28" customWidth="1"/>
    <col min="8977" max="8977" width="1.5" style="28" customWidth="1"/>
    <col min="8978" max="9216" width="8" style="28"/>
    <col min="9217" max="9217" width="5.625" style="28" customWidth="1"/>
    <col min="9218" max="9218" width="11" style="28" customWidth="1"/>
    <col min="9219" max="9219" width="47.5" style="28" customWidth="1"/>
    <col min="9220" max="9220" width="6.375" style="28" customWidth="1"/>
    <col min="9221" max="9221" width="9.375" style="28" customWidth="1"/>
    <col min="9222" max="9223" width="6.5" style="28" customWidth="1"/>
    <col min="9224" max="9224" width="0" style="28" hidden="1" customWidth="1"/>
    <col min="9225" max="9225" width="6.125" style="28" customWidth="1"/>
    <col min="9226" max="9227" width="8.875" style="28" customWidth="1"/>
    <col min="9228" max="9228" width="9.125" style="28" customWidth="1"/>
    <col min="9229" max="9229" width="11.5" style="28" customWidth="1"/>
    <col min="9230" max="9230" width="10.5" style="28" customWidth="1"/>
    <col min="9231" max="9231" width="25.625" style="28" customWidth="1"/>
    <col min="9232" max="9232" width="12.5" style="28" customWidth="1"/>
    <col min="9233" max="9233" width="1.5" style="28" customWidth="1"/>
    <col min="9234" max="9472" width="8" style="28"/>
    <col min="9473" max="9473" width="5.625" style="28" customWidth="1"/>
    <col min="9474" max="9474" width="11" style="28" customWidth="1"/>
    <col min="9475" max="9475" width="47.5" style="28" customWidth="1"/>
    <col min="9476" max="9476" width="6.375" style="28" customWidth="1"/>
    <col min="9477" max="9477" width="9.375" style="28" customWidth="1"/>
    <col min="9478" max="9479" width="6.5" style="28" customWidth="1"/>
    <col min="9480" max="9480" width="0" style="28" hidden="1" customWidth="1"/>
    <col min="9481" max="9481" width="6.125" style="28" customWidth="1"/>
    <col min="9482" max="9483" width="8.875" style="28" customWidth="1"/>
    <col min="9484" max="9484" width="9.125" style="28" customWidth="1"/>
    <col min="9485" max="9485" width="11.5" style="28" customWidth="1"/>
    <col min="9486" max="9486" width="10.5" style="28" customWidth="1"/>
    <col min="9487" max="9487" width="25.625" style="28" customWidth="1"/>
    <col min="9488" max="9488" width="12.5" style="28" customWidth="1"/>
    <col min="9489" max="9489" width="1.5" style="28" customWidth="1"/>
    <col min="9490" max="9728" width="8" style="28"/>
    <col min="9729" max="9729" width="5.625" style="28" customWidth="1"/>
    <col min="9730" max="9730" width="11" style="28" customWidth="1"/>
    <col min="9731" max="9731" width="47.5" style="28" customWidth="1"/>
    <col min="9732" max="9732" width="6.375" style="28" customWidth="1"/>
    <col min="9733" max="9733" width="9.375" style="28" customWidth="1"/>
    <col min="9734" max="9735" width="6.5" style="28" customWidth="1"/>
    <col min="9736" max="9736" width="0" style="28" hidden="1" customWidth="1"/>
    <col min="9737" max="9737" width="6.125" style="28" customWidth="1"/>
    <col min="9738" max="9739" width="8.875" style="28" customWidth="1"/>
    <col min="9740" max="9740" width="9.125" style="28" customWidth="1"/>
    <col min="9741" max="9741" width="11.5" style="28" customWidth="1"/>
    <col min="9742" max="9742" width="10.5" style="28" customWidth="1"/>
    <col min="9743" max="9743" width="25.625" style="28" customWidth="1"/>
    <col min="9744" max="9744" width="12.5" style="28" customWidth="1"/>
    <col min="9745" max="9745" width="1.5" style="28" customWidth="1"/>
    <col min="9746" max="9984" width="8" style="28"/>
    <col min="9985" max="9985" width="5.625" style="28" customWidth="1"/>
    <col min="9986" max="9986" width="11" style="28" customWidth="1"/>
    <col min="9987" max="9987" width="47.5" style="28" customWidth="1"/>
    <col min="9988" max="9988" width="6.375" style="28" customWidth="1"/>
    <col min="9989" max="9989" width="9.375" style="28" customWidth="1"/>
    <col min="9990" max="9991" width="6.5" style="28" customWidth="1"/>
    <col min="9992" max="9992" width="0" style="28" hidden="1" customWidth="1"/>
    <col min="9993" max="9993" width="6.125" style="28" customWidth="1"/>
    <col min="9994" max="9995" width="8.875" style="28" customWidth="1"/>
    <col min="9996" max="9996" width="9.125" style="28" customWidth="1"/>
    <col min="9997" max="9997" width="11.5" style="28" customWidth="1"/>
    <col min="9998" max="9998" width="10.5" style="28" customWidth="1"/>
    <col min="9999" max="9999" width="25.625" style="28" customWidth="1"/>
    <col min="10000" max="10000" width="12.5" style="28" customWidth="1"/>
    <col min="10001" max="10001" width="1.5" style="28" customWidth="1"/>
    <col min="10002" max="10240" width="8" style="28"/>
    <col min="10241" max="10241" width="5.625" style="28" customWidth="1"/>
    <col min="10242" max="10242" width="11" style="28" customWidth="1"/>
    <col min="10243" max="10243" width="47.5" style="28" customWidth="1"/>
    <col min="10244" max="10244" width="6.375" style="28" customWidth="1"/>
    <col min="10245" max="10245" width="9.375" style="28" customWidth="1"/>
    <col min="10246" max="10247" width="6.5" style="28" customWidth="1"/>
    <col min="10248" max="10248" width="0" style="28" hidden="1" customWidth="1"/>
    <col min="10249" max="10249" width="6.125" style="28" customWidth="1"/>
    <col min="10250" max="10251" width="8.875" style="28" customWidth="1"/>
    <col min="10252" max="10252" width="9.125" style="28" customWidth="1"/>
    <col min="10253" max="10253" width="11.5" style="28" customWidth="1"/>
    <col min="10254" max="10254" width="10.5" style="28" customWidth="1"/>
    <col min="10255" max="10255" width="25.625" style="28" customWidth="1"/>
    <col min="10256" max="10256" width="12.5" style="28" customWidth="1"/>
    <col min="10257" max="10257" width="1.5" style="28" customWidth="1"/>
    <col min="10258" max="10496" width="8" style="28"/>
    <col min="10497" max="10497" width="5.625" style="28" customWidth="1"/>
    <col min="10498" max="10498" width="11" style="28" customWidth="1"/>
    <col min="10499" max="10499" width="47.5" style="28" customWidth="1"/>
    <col min="10500" max="10500" width="6.375" style="28" customWidth="1"/>
    <col min="10501" max="10501" width="9.375" style="28" customWidth="1"/>
    <col min="10502" max="10503" width="6.5" style="28" customWidth="1"/>
    <col min="10504" max="10504" width="0" style="28" hidden="1" customWidth="1"/>
    <col min="10505" max="10505" width="6.125" style="28" customWidth="1"/>
    <col min="10506" max="10507" width="8.875" style="28" customWidth="1"/>
    <col min="10508" max="10508" width="9.125" style="28" customWidth="1"/>
    <col min="10509" max="10509" width="11.5" style="28" customWidth="1"/>
    <col min="10510" max="10510" width="10.5" style="28" customWidth="1"/>
    <col min="10511" max="10511" width="25.625" style="28" customWidth="1"/>
    <col min="10512" max="10512" width="12.5" style="28" customWidth="1"/>
    <col min="10513" max="10513" width="1.5" style="28" customWidth="1"/>
    <col min="10514" max="10752" width="8" style="28"/>
    <col min="10753" max="10753" width="5.625" style="28" customWidth="1"/>
    <col min="10754" max="10754" width="11" style="28" customWidth="1"/>
    <col min="10755" max="10755" width="47.5" style="28" customWidth="1"/>
    <col min="10756" max="10756" width="6.375" style="28" customWidth="1"/>
    <col min="10757" max="10757" width="9.375" style="28" customWidth="1"/>
    <col min="10758" max="10759" width="6.5" style="28" customWidth="1"/>
    <col min="10760" max="10760" width="0" style="28" hidden="1" customWidth="1"/>
    <col min="10761" max="10761" width="6.125" style="28" customWidth="1"/>
    <col min="10762" max="10763" width="8.875" style="28" customWidth="1"/>
    <col min="10764" max="10764" width="9.125" style="28" customWidth="1"/>
    <col min="10765" max="10765" width="11.5" style="28" customWidth="1"/>
    <col min="10766" max="10766" width="10.5" style="28" customWidth="1"/>
    <col min="10767" max="10767" width="25.625" style="28" customWidth="1"/>
    <col min="10768" max="10768" width="12.5" style="28" customWidth="1"/>
    <col min="10769" max="10769" width="1.5" style="28" customWidth="1"/>
    <col min="10770" max="11008" width="8" style="28"/>
    <col min="11009" max="11009" width="5.625" style="28" customWidth="1"/>
    <col min="11010" max="11010" width="11" style="28" customWidth="1"/>
    <col min="11011" max="11011" width="47.5" style="28" customWidth="1"/>
    <col min="11012" max="11012" width="6.375" style="28" customWidth="1"/>
    <col min="11013" max="11013" width="9.375" style="28" customWidth="1"/>
    <col min="11014" max="11015" width="6.5" style="28" customWidth="1"/>
    <col min="11016" max="11016" width="0" style="28" hidden="1" customWidth="1"/>
    <col min="11017" max="11017" width="6.125" style="28" customWidth="1"/>
    <col min="11018" max="11019" width="8.875" style="28" customWidth="1"/>
    <col min="11020" max="11020" width="9.125" style="28" customWidth="1"/>
    <col min="11021" max="11021" width="11.5" style="28" customWidth="1"/>
    <col min="11022" max="11022" width="10.5" style="28" customWidth="1"/>
    <col min="11023" max="11023" width="25.625" style="28" customWidth="1"/>
    <col min="11024" max="11024" width="12.5" style="28" customWidth="1"/>
    <col min="11025" max="11025" width="1.5" style="28" customWidth="1"/>
    <col min="11026" max="11264" width="8" style="28"/>
    <col min="11265" max="11265" width="5.625" style="28" customWidth="1"/>
    <col min="11266" max="11266" width="11" style="28" customWidth="1"/>
    <col min="11267" max="11267" width="47.5" style="28" customWidth="1"/>
    <col min="11268" max="11268" width="6.375" style="28" customWidth="1"/>
    <col min="11269" max="11269" width="9.375" style="28" customWidth="1"/>
    <col min="11270" max="11271" width="6.5" style="28" customWidth="1"/>
    <col min="11272" max="11272" width="0" style="28" hidden="1" customWidth="1"/>
    <col min="11273" max="11273" width="6.125" style="28" customWidth="1"/>
    <col min="11274" max="11275" width="8.875" style="28" customWidth="1"/>
    <col min="11276" max="11276" width="9.125" style="28" customWidth="1"/>
    <col min="11277" max="11277" width="11.5" style="28" customWidth="1"/>
    <col min="11278" max="11278" width="10.5" style="28" customWidth="1"/>
    <col min="11279" max="11279" width="25.625" style="28" customWidth="1"/>
    <col min="11280" max="11280" width="12.5" style="28" customWidth="1"/>
    <col min="11281" max="11281" width="1.5" style="28" customWidth="1"/>
    <col min="11282" max="11520" width="8" style="28"/>
    <col min="11521" max="11521" width="5.625" style="28" customWidth="1"/>
    <col min="11522" max="11522" width="11" style="28" customWidth="1"/>
    <col min="11523" max="11523" width="47.5" style="28" customWidth="1"/>
    <col min="11524" max="11524" width="6.375" style="28" customWidth="1"/>
    <col min="11525" max="11525" width="9.375" style="28" customWidth="1"/>
    <col min="11526" max="11527" width="6.5" style="28" customWidth="1"/>
    <col min="11528" max="11528" width="0" style="28" hidden="1" customWidth="1"/>
    <col min="11529" max="11529" width="6.125" style="28" customWidth="1"/>
    <col min="11530" max="11531" width="8.875" style="28" customWidth="1"/>
    <col min="11532" max="11532" width="9.125" style="28" customWidth="1"/>
    <col min="11533" max="11533" width="11.5" style="28" customWidth="1"/>
    <col min="11534" max="11534" width="10.5" style="28" customWidth="1"/>
    <col min="11535" max="11535" width="25.625" style="28" customWidth="1"/>
    <col min="11536" max="11536" width="12.5" style="28" customWidth="1"/>
    <col min="11537" max="11537" width="1.5" style="28" customWidth="1"/>
    <col min="11538" max="11776" width="8" style="28"/>
    <col min="11777" max="11777" width="5.625" style="28" customWidth="1"/>
    <col min="11778" max="11778" width="11" style="28" customWidth="1"/>
    <col min="11779" max="11779" width="47.5" style="28" customWidth="1"/>
    <col min="11780" max="11780" width="6.375" style="28" customWidth="1"/>
    <col min="11781" max="11781" width="9.375" style="28" customWidth="1"/>
    <col min="11782" max="11783" width="6.5" style="28" customWidth="1"/>
    <col min="11784" max="11784" width="0" style="28" hidden="1" customWidth="1"/>
    <col min="11785" max="11785" width="6.125" style="28" customWidth="1"/>
    <col min="11786" max="11787" width="8.875" style="28" customWidth="1"/>
    <col min="11788" max="11788" width="9.125" style="28" customWidth="1"/>
    <col min="11789" max="11789" width="11.5" style="28" customWidth="1"/>
    <col min="11790" max="11790" width="10.5" style="28" customWidth="1"/>
    <col min="11791" max="11791" width="25.625" style="28" customWidth="1"/>
    <col min="11792" max="11792" width="12.5" style="28" customWidth="1"/>
    <col min="11793" max="11793" width="1.5" style="28" customWidth="1"/>
    <col min="11794" max="12032" width="8" style="28"/>
    <col min="12033" max="12033" width="5.625" style="28" customWidth="1"/>
    <col min="12034" max="12034" width="11" style="28" customWidth="1"/>
    <col min="12035" max="12035" width="47.5" style="28" customWidth="1"/>
    <col min="12036" max="12036" width="6.375" style="28" customWidth="1"/>
    <col min="12037" max="12037" width="9.375" style="28" customWidth="1"/>
    <col min="12038" max="12039" width="6.5" style="28" customWidth="1"/>
    <col min="12040" max="12040" width="0" style="28" hidden="1" customWidth="1"/>
    <col min="12041" max="12041" width="6.125" style="28" customWidth="1"/>
    <col min="12042" max="12043" width="8.875" style="28" customWidth="1"/>
    <col min="12044" max="12044" width="9.125" style="28" customWidth="1"/>
    <col min="12045" max="12045" width="11.5" style="28" customWidth="1"/>
    <col min="12046" max="12046" width="10.5" style="28" customWidth="1"/>
    <col min="12047" max="12047" width="25.625" style="28" customWidth="1"/>
    <col min="12048" max="12048" width="12.5" style="28" customWidth="1"/>
    <col min="12049" max="12049" width="1.5" style="28" customWidth="1"/>
    <col min="12050" max="12288" width="8" style="28"/>
    <col min="12289" max="12289" width="5.625" style="28" customWidth="1"/>
    <col min="12290" max="12290" width="11" style="28" customWidth="1"/>
    <col min="12291" max="12291" width="47.5" style="28" customWidth="1"/>
    <col min="12292" max="12292" width="6.375" style="28" customWidth="1"/>
    <col min="12293" max="12293" width="9.375" style="28" customWidth="1"/>
    <col min="12294" max="12295" width="6.5" style="28" customWidth="1"/>
    <col min="12296" max="12296" width="0" style="28" hidden="1" customWidth="1"/>
    <col min="12297" max="12297" width="6.125" style="28" customWidth="1"/>
    <col min="12298" max="12299" width="8.875" style="28" customWidth="1"/>
    <col min="12300" max="12300" width="9.125" style="28" customWidth="1"/>
    <col min="12301" max="12301" width="11.5" style="28" customWidth="1"/>
    <col min="12302" max="12302" width="10.5" style="28" customWidth="1"/>
    <col min="12303" max="12303" width="25.625" style="28" customWidth="1"/>
    <col min="12304" max="12304" width="12.5" style="28" customWidth="1"/>
    <col min="12305" max="12305" width="1.5" style="28" customWidth="1"/>
    <col min="12306" max="12544" width="8" style="28"/>
    <col min="12545" max="12545" width="5.625" style="28" customWidth="1"/>
    <col min="12546" max="12546" width="11" style="28" customWidth="1"/>
    <col min="12547" max="12547" width="47.5" style="28" customWidth="1"/>
    <col min="12548" max="12548" width="6.375" style="28" customWidth="1"/>
    <col min="12549" max="12549" width="9.375" style="28" customWidth="1"/>
    <col min="12550" max="12551" width="6.5" style="28" customWidth="1"/>
    <col min="12552" max="12552" width="0" style="28" hidden="1" customWidth="1"/>
    <col min="12553" max="12553" width="6.125" style="28" customWidth="1"/>
    <col min="12554" max="12555" width="8.875" style="28" customWidth="1"/>
    <col min="12556" max="12556" width="9.125" style="28" customWidth="1"/>
    <col min="12557" max="12557" width="11.5" style="28" customWidth="1"/>
    <col min="12558" max="12558" width="10.5" style="28" customWidth="1"/>
    <col min="12559" max="12559" width="25.625" style="28" customWidth="1"/>
    <col min="12560" max="12560" width="12.5" style="28" customWidth="1"/>
    <col min="12561" max="12561" width="1.5" style="28" customWidth="1"/>
    <col min="12562" max="12800" width="8" style="28"/>
    <col min="12801" max="12801" width="5.625" style="28" customWidth="1"/>
    <col min="12802" max="12802" width="11" style="28" customWidth="1"/>
    <col min="12803" max="12803" width="47.5" style="28" customWidth="1"/>
    <col min="12804" max="12804" width="6.375" style="28" customWidth="1"/>
    <col min="12805" max="12805" width="9.375" style="28" customWidth="1"/>
    <col min="12806" max="12807" width="6.5" style="28" customWidth="1"/>
    <col min="12808" max="12808" width="0" style="28" hidden="1" customWidth="1"/>
    <col min="12809" max="12809" width="6.125" style="28" customWidth="1"/>
    <col min="12810" max="12811" width="8.875" style="28" customWidth="1"/>
    <col min="12812" max="12812" width="9.125" style="28" customWidth="1"/>
    <col min="12813" max="12813" width="11.5" style="28" customWidth="1"/>
    <col min="12814" max="12814" width="10.5" style="28" customWidth="1"/>
    <col min="12815" max="12815" width="25.625" style="28" customWidth="1"/>
    <col min="12816" max="12816" width="12.5" style="28" customWidth="1"/>
    <col min="12817" max="12817" width="1.5" style="28" customWidth="1"/>
    <col min="12818" max="13056" width="8" style="28"/>
    <col min="13057" max="13057" width="5.625" style="28" customWidth="1"/>
    <col min="13058" max="13058" width="11" style="28" customWidth="1"/>
    <col min="13059" max="13059" width="47.5" style="28" customWidth="1"/>
    <col min="13060" max="13060" width="6.375" style="28" customWidth="1"/>
    <col min="13061" max="13061" width="9.375" style="28" customWidth="1"/>
    <col min="13062" max="13063" width="6.5" style="28" customWidth="1"/>
    <col min="13064" max="13064" width="0" style="28" hidden="1" customWidth="1"/>
    <col min="13065" max="13065" width="6.125" style="28" customWidth="1"/>
    <col min="13066" max="13067" width="8.875" style="28" customWidth="1"/>
    <col min="13068" max="13068" width="9.125" style="28" customWidth="1"/>
    <col min="13069" max="13069" width="11.5" style="28" customWidth="1"/>
    <col min="13070" max="13070" width="10.5" style="28" customWidth="1"/>
    <col min="13071" max="13071" width="25.625" style="28" customWidth="1"/>
    <col min="13072" max="13072" width="12.5" style="28" customWidth="1"/>
    <col min="13073" max="13073" width="1.5" style="28" customWidth="1"/>
    <col min="13074" max="13312" width="8" style="28"/>
    <col min="13313" max="13313" width="5.625" style="28" customWidth="1"/>
    <col min="13314" max="13314" width="11" style="28" customWidth="1"/>
    <col min="13315" max="13315" width="47.5" style="28" customWidth="1"/>
    <col min="13316" max="13316" width="6.375" style="28" customWidth="1"/>
    <col min="13317" max="13317" width="9.375" style="28" customWidth="1"/>
    <col min="13318" max="13319" width="6.5" style="28" customWidth="1"/>
    <col min="13320" max="13320" width="0" style="28" hidden="1" customWidth="1"/>
    <col min="13321" max="13321" width="6.125" style="28" customWidth="1"/>
    <col min="13322" max="13323" width="8.875" style="28" customWidth="1"/>
    <col min="13324" max="13324" width="9.125" style="28" customWidth="1"/>
    <col min="13325" max="13325" width="11.5" style="28" customWidth="1"/>
    <col min="13326" max="13326" width="10.5" style="28" customWidth="1"/>
    <col min="13327" max="13327" width="25.625" style="28" customWidth="1"/>
    <col min="13328" max="13328" width="12.5" style="28" customWidth="1"/>
    <col min="13329" max="13329" width="1.5" style="28" customWidth="1"/>
    <col min="13330" max="13568" width="8" style="28"/>
    <col min="13569" max="13569" width="5.625" style="28" customWidth="1"/>
    <col min="13570" max="13570" width="11" style="28" customWidth="1"/>
    <col min="13571" max="13571" width="47.5" style="28" customWidth="1"/>
    <col min="13572" max="13572" width="6.375" style="28" customWidth="1"/>
    <col min="13573" max="13573" width="9.375" style="28" customWidth="1"/>
    <col min="13574" max="13575" width="6.5" style="28" customWidth="1"/>
    <col min="13576" max="13576" width="0" style="28" hidden="1" customWidth="1"/>
    <col min="13577" max="13577" width="6.125" style="28" customWidth="1"/>
    <col min="13578" max="13579" width="8.875" style="28" customWidth="1"/>
    <col min="13580" max="13580" width="9.125" style="28" customWidth="1"/>
    <col min="13581" max="13581" width="11.5" style="28" customWidth="1"/>
    <col min="13582" max="13582" width="10.5" style="28" customWidth="1"/>
    <col min="13583" max="13583" width="25.625" style="28" customWidth="1"/>
    <col min="13584" max="13584" width="12.5" style="28" customWidth="1"/>
    <col min="13585" max="13585" width="1.5" style="28" customWidth="1"/>
    <col min="13586" max="13824" width="8" style="28"/>
    <col min="13825" max="13825" width="5.625" style="28" customWidth="1"/>
    <col min="13826" max="13826" width="11" style="28" customWidth="1"/>
    <col min="13827" max="13827" width="47.5" style="28" customWidth="1"/>
    <col min="13828" max="13828" width="6.375" style="28" customWidth="1"/>
    <col min="13829" max="13829" width="9.375" style="28" customWidth="1"/>
    <col min="13830" max="13831" width="6.5" style="28" customWidth="1"/>
    <col min="13832" max="13832" width="0" style="28" hidden="1" customWidth="1"/>
    <col min="13833" max="13833" width="6.125" style="28" customWidth="1"/>
    <col min="13834" max="13835" width="8.875" style="28" customWidth="1"/>
    <col min="13836" max="13836" width="9.125" style="28" customWidth="1"/>
    <col min="13837" max="13837" width="11.5" style="28" customWidth="1"/>
    <col min="13838" max="13838" width="10.5" style="28" customWidth="1"/>
    <col min="13839" max="13839" width="25.625" style="28" customWidth="1"/>
    <col min="13840" max="13840" width="12.5" style="28" customWidth="1"/>
    <col min="13841" max="13841" width="1.5" style="28" customWidth="1"/>
    <col min="13842" max="14080" width="8" style="28"/>
    <col min="14081" max="14081" width="5.625" style="28" customWidth="1"/>
    <col min="14082" max="14082" width="11" style="28" customWidth="1"/>
    <col min="14083" max="14083" width="47.5" style="28" customWidth="1"/>
    <col min="14084" max="14084" width="6.375" style="28" customWidth="1"/>
    <col min="14085" max="14085" width="9.375" style="28" customWidth="1"/>
    <col min="14086" max="14087" width="6.5" style="28" customWidth="1"/>
    <col min="14088" max="14088" width="0" style="28" hidden="1" customWidth="1"/>
    <col min="14089" max="14089" width="6.125" style="28" customWidth="1"/>
    <col min="14090" max="14091" width="8.875" style="28" customWidth="1"/>
    <col min="14092" max="14092" width="9.125" style="28" customWidth="1"/>
    <col min="14093" max="14093" width="11.5" style="28" customWidth="1"/>
    <col min="14094" max="14094" width="10.5" style="28" customWidth="1"/>
    <col min="14095" max="14095" width="25.625" style="28" customWidth="1"/>
    <col min="14096" max="14096" width="12.5" style="28" customWidth="1"/>
    <col min="14097" max="14097" width="1.5" style="28" customWidth="1"/>
    <col min="14098" max="14336" width="8" style="28"/>
    <col min="14337" max="14337" width="5.625" style="28" customWidth="1"/>
    <col min="14338" max="14338" width="11" style="28" customWidth="1"/>
    <col min="14339" max="14339" width="47.5" style="28" customWidth="1"/>
    <col min="14340" max="14340" width="6.375" style="28" customWidth="1"/>
    <col min="14341" max="14341" width="9.375" style="28" customWidth="1"/>
    <col min="14342" max="14343" width="6.5" style="28" customWidth="1"/>
    <col min="14344" max="14344" width="0" style="28" hidden="1" customWidth="1"/>
    <col min="14345" max="14345" width="6.125" style="28" customWidth="1"/>
    <col min="14346" max="14347" width="8.875" style="28" customWidth="1"/>
    <col min="14348" max="14348" width="9.125" style="28" customWidth="1"/>
    <col min="14349" max="14349" width="11.5" style="28" customWidth="1"/>
    <col min="14350" max="14350" width="10.5" style="28" customWidth="1"/>
    <col min="14351" max="14351" width="25.625" style="28" customWidth="1"/>
    <col min="14352" max="14352" width="12.5" style="28" customWidth="1"/>
    <col min="14353" max="14353" width="1.5" style="28" customWidth="1"/>
    <col min="14354" max="14592" width="8" style="28"/>
    <col min="14593" max="14593" width="5.625" style="28" customWidth="1"/>
    <col min="14594" max="14594" width="11" style="28" customWidth="1"/>
    <col min="14595" max="14595" width="47.5" style="28" customWidth="1"/>
    <col min="14596" max="14596" width="6.375" style="28" customWidth="1"/>
    <col min="14597" max="14597" width="9.375" style="28" customWidth="1"/>
    <col min="14598" max="14599" width="6.5" style="28" customWidth="1"/>
    <col min="14600" max="14600" width="0" style="28" hidden="1" customWidth="1"/>
    <col min="14601" max="14601" width="6.125" style="28" customWidth="1"/>
    <col min="14602" max="14603" width="8.875" style="28" customWidth="1"/>
    <col min="14604" max="14604" width="9.125" style="28" customWidth="1"/>
    <col min="14605" max="14605" width="11.5" style="28" customWidth="1"/>
    <col min="14606" max="14606" width="10.5" style="28" customWidth="1"/>
    <col min="14607" max="14607" width="25.625" style="28" customWidth="1"/>
    <col min="14608" max="14608" width="12.5" style="28" customWidth="1"/>
    <col min="14609" max="14609" width="1.5" style="28" customWidth="1"/>
    <col min="14610" max="14848" width="8" style="28"/>
    <col min="14849" max="14849" width="5.625" style="28" customWidth="1"/>
    <col min="14850" max="14850" width="11" style="28" customWidth="1"/>
    <col min="14851" max="14851" width="47.5" style="28" customWidth="1"/>
    <col min="14852" max="14852" width="6.375" style="28" customWidth="1"/>
    <col min="14853" max="14853" width="9.375" style="28" customWidth="1"/>
    <col min="14854" max="14855" width="6.5" style="28" customWidth="1"/>
    <col min="14856" max="14856" width="0" style="28" hidden="1" customWidth="1"/>
    <col min="14857" max="14857" width="6.125" style="28" customWidth="1"/>
    <col min="14858" max="14859" width="8.875" style="28" customWidth="1"/>
    <col min="14860" max="14860" width="9.125" style="28" customWidth="1"/>
    <col min="14861" max="14861" width="11.5" style="28" customWidth="1"/>
    <col min="14862" max="14862" width="10.5" style="28" customWidth="1"/>
    <col min="14863" max="14863" width="25.625" style="28" customWidth="1"/>
    <col min="14864" max="14864" width="12.5" style="28" customWidth="1"/>
    <col min="14865" max="14865" width="1.5" style="28" customWidth="1"/>
    <col min="14866" max="15104" width="8" style="28"/>
    <col min="15105" max="15105" width="5.625" style="28" customWidth="1"/>
    <col min="15106" max="15106" width="11" style="28" customWidth="1"/>
    <col min="15107" max="15107" width="47.5" style="28" customWidth="1"/>
    <col min="15108" max="15108" width="6.375" style="28" customWidth="1"/>
    <col min="15109" max="15109" width="9.375" style="28" customWidth="1"/>
    <col min="15110" max="15111" width="6.5" style="28" customWidth="1"/>
    <col min="15112" max="15112" width="0" style="28" hidden="1" customWidth="1"/>
    <col min="15113" max="15113" width="6.125" style="28" customWidth="1"/>
    <col min="15114" max="15115" width="8.875" style="28" customWidth="1"/>
    <col min="15116" max="15116" width="9.125" style="28" customWidth="1"/>
    <col min="15117" max="15117" width="11.5" style="28" customWidth="1"/>
    <col min="15118" max="15118" width="10.5" style="28" customWidth="1"/>
    <col min="15119" max="15119" width="25.625" style="28" customWidth="1"/>
    <col min="15120" max="15120" width="12.5" style="28" customWidth="1"/>
    <col min="15121" max="15121" width="1.5" style="28" customWidth="1"/>
    <col min="15122" max="15360" width="8" style="28"/>
    <col min="15361" max="15361" width="5.625" style="28" customWidth="1"/>
    <col min="15362" max="15362" width="11" style="28" customWidth="1"/>
    <col min="15363" max="15363" width="47.5" style="28" customWidth="1"/>
    <col min="15364" max="15364" width="6.375" style="28" customWidth="1"/>
    <col min="15365" max="15365" width="9.375" style="28" customWidth="1"/>
    <col min="15366" max="15367" width="6.5" style="28" customWidth="1"/>
    <col min="15368" max="15368" width="0" style="28" hidden="1" customWidth="1"/>
    <col min="15369" max="15369" width="6.125" style="28" customWidth="1"/>
    <col min="15370" max="15371" width="8.875" style="28" customWidth="1"/>
    <col min="15372" max="15372" width="9.125" style="28" customWidth="1"/>
    <col min="15373" max="15373" width="11.5" style="28" customWidth="1"/>
    <col min="15374" max="15374" width="10.5" style="28" customWidth="1"/>
    <col min="15375" max="15375" width="25.625" style="28" customWidth="1"/>
    <col min="15376" max="15376" width="12.5" style="28" customWidth="1"/>
    <col min="15377" max="15377" width="1.5" style="28" customWidth="1"/>
    <col min="15378" max="15616" width="8" style="28"/>
    <col min="15617" max="15617" width="5.625" style="28" customWidth="1"/>
    <col min="15618" max="15618" width="11" style="28" customWidth="1"/>
    <col min="15619" max="15619" width="47.5" style="28" customWidth="1"/>
    <col min="15620" max="15620" width="6.375" style="28" customWidth="1"/>
    <col min="15621" max="15621" width="9.375" style="28" customWidth="1"/>
    <col min="15622" max="15623" width="6.5" style="28" customWidth="1"/>
    <col min="15624" max="15624" width="0" style="28" hidden="1" customWidth="1"/>
    <col min="15625" max="15625" width="6.125" style="28" customWidth="1"/>
    <col min="15626" max="15627" width="8.875" style="28" customWidth="1"/>
    <col min="15628" max="15628" width="9.125" style="28" customWidth="1"/>
    <col min="15629" max="15629" width="11.5" style="28" customWidth="1"/>
    <col min="15630" max="15630" width="10.5" style="28" customWidth="1"/>
    <col min="15631" max="15631" width="25.625" style="28" customWidth="1"/>
    <col min="15632" max="15632" width="12.5" style="28" customWidth="1"/>
    <col min="15633" max="15633" width="1.5" style="28" customWidth="1"/>
    <col min="15634" max="15872" width="8" style="28"/>
    <col min="15873" max="15873" width="5.625" style="28" customWidth="1"/>
    <col min="15874" max="15874" width="11" style="28" customWidth="1"/>
    <col min="15875" max="15875" width="47.5" style="28" customWidth="1"/>
    <col min="15876" max="15876" width="6.375" style="28" customWidth="1"/>
    <col min="15877" max="15877" width="9.375" style="28" customWidth="1"/>
    <col min="15878" max="15879" width="6.5" style="28" customWidth="1"/>
    <col min="15880" max="15880" width="0" style="28" hidden="1" customWidth="1"/>
    <col min="15881" max="15881" width="6.125" style="28" customWidth="1"/>
    <col min="15882" max="15883" width="8.875" style="28" customWidth="1"/>
    <col min="15884" max="15884" width="9.125" style="28" customWidth="1"/>
    <col min="15885" max="15885" width="11.5" style="28" customWidth="1"/>
    <col min="15886" max="15886" width="10.5" style="28" customWidth="1"/>
    <col min="15887" max="15887" width="25.625" style="28" customWidth="1"/>
    <col min="15888" max="15888" width="12.5" style="28" customWidth="1"/>
    <col min="15889" max="15889" width="1.5" style="28" customWidth="1"/>
    <col min="15890" max="16128" width="8" style="28"/>
    <col min="16129" max="16129" width="5.625" style="28" customWidth="1"/>
    <col min="16130" max="16130" width="11" style="28" customWidth="1"/>
    <col min="16131" max="16131" width="47.5" style="28" customWidth="1"/>
    <col min="16132" max="16132" width="6.375" style="28" customWidth="1"/>
    <col min="16133" max="16133" width="9.375" style="28" customWidth="1"/>
    <col min="16134" max="16135" width="6.5" style="28" customWidth="1"/>
    <col min="16136" max="16136" width="0" style="28" hidden="1" customWidth="1"/>
    <col min="16137" max="16137" width="6.125" style="28" customWidth="1"/>
    <col min="16138" max="16139" width="8.875" style="28" customWidth="1"/>
    <col min="16140" max="16140" width="9.125" style="28" customWidth="1"/>
    <col min="16141" max="16141" width="11.5" style="28" customWidth="1"/>
    <col min="16142" max="16142" width="10.5" style="28" customWidth="1"/>
    <col min="16143" max="16143" width="25.625" style="28" customWidth="1"/>
    <col min="16144" max="16144" width="12.5" style="28" customWidth="1"/>
    <col min="16145" max="16145" width="1.5" style="28" customWidth="1"/>
    <col min="16146" max="16384" width="8" style="28"/>
  </cols>
  <sheetData>
    <row r="1" spans="1:31" ht="20.25" x14ac:dyDescent="0.3">
      <c r="A1" s="429" t="s">
        <v>107</v>
      </c>
      <c r="B1" s="429"/>
      <c r="C1" s="429"/>
      <c r="D1" s="220"/>
      <c r="E1" s="220"/>
      <c r="F1" s="23"/>
      <c r="G1" s="425" t="s">
        <v>42</v>
      </c>
      <c r="H1" s="425"/>
      <c r="I1" s="425"/>
      <c r="J1" s="425"/>
      <c r="K1" s="425"/>
      <c r="L1" s="425"/>
      <c r="M1" s="425"/>
      <c r="N1" s="425"/>
      <c r="O1" s="425"/>
      <c r="P1" s="221"/>
      <c r="Q1" s="27"/>
      <c r="R1" s="27"/>
      <c r="S1" s="27"/>
      <c r="T1" s="27"/>
    </row>
    <row r="2" spans="1:31" ht="20.25" x14ac:dyDescent="0.3">
      <c r="A2" s="429" t="s">
        <v>108</v>
      </c>
      <c r="B2" s="429"/>
      <c r="C2" s="429"/>
      <c r="D2" s="220"/>
      <c r="E2" s="220"/>
      <c r="F2" s="23"/>
      <c r="G2" s="425" t="s">
        <v>43</v>
      </c>
      <c r="H2" s="425"/>
      <c r="I2" s="425"/>
      <c r="J2" s="425"/>
      <c r="K2" s="425"/>
      <c r="L2" s="425"/>
      <c r="M2" s="425"/>
      <c r="N2" s="425"/>
      <c r="O2" s="425"/>
      <c r="P2" s="221"/>
      <c r="Q2" s="27"/>
      <c r="R2" s="27"/>
      <c r="S2" s="27"/>
      <c r="T2" s="27"/>
    </row>
    <row r="3" spans="1:31" ht="20.25" x14ac:dyDescent="0.3">
      <c r="A3" s="425" t="s">
        <v>0</v>
      </c>
      <c r="B3" s="425"/>
      <c r="C3" s="425"/>
      <c r="D3" s="221"/>
      <c r="E3" s="221"/>
      <c r="F3" s="23"/>
      <c r="G3" s="23"/>
      <c r="H3" s="23"/>
      <c r="I3" s="23"/>
      <c r="J3" s="23"/>
      <c r="K3" s="25"/>
      <c r="L3" s="25"/>
      <c r="M3" s="79"/>
      <c r="N3" s="79"/>
      <c r="O3" s="79"/>
      <c r="P3" s="79"/>
      <c r="Q3" s="80"/>
      <c r="R3" s="80"/>
      <c r="S3" s="80"/>
      <c r="T3" s="80"/>
    </row>
    <row r="4" spans="1:31" ht="25.5" x14ac:dyDescent="0.35">
      <c r="A4" s="23"/>
      <c r="B4" s="31"/>
      <c r="D4" s="221"/>
      <c r="E4" s="221"/>
      <c r="G4" s="430" t="s">
        <v>294</v>
      </c>
      <c r="H4" s="430"/>
      <c r="I4" s="430"/>
      <c r="J4" s="430"/>
      <c r="K4" s="430"/>
      <c r="L4" s="430"/>
      <c r="M4" s="430"/>
      <c r="N4" s="430"/>
      <c r="O4" s="430"/>
      <c r="P4" s="81"/>
      <c r="Q4" s="80"/>
      <c r="R4" s="80"/>
      <c r="S4" s="80"/>
      <c r="T4" s="80"/>
    </row>
    <row r="5" spans="1:31" ht="25.5" x14ac:dyDescent="0.35">
      <c r="A5" s="23"/>
      <c r="B5" s="31"/>
      <c r="D5" s="221"/>
      <c r="E5" s="221"/>
      <c r="F5" s="59"/>
      <c r="G5" s="59"/>
      <c r="H5" s="59"/>
      <c r="I5" s="59"/>
      <c r="J5" s="59"/>
      <c r="K5" s="59"/>
      <c r="L5" s="59"/>
      <c r="M5" s="59"/>
      <c r="N5" s="59"/>
      <c r="O5" s="59"/>
      <c r="P5" s="59"/>
      <c r="Q5" s="80"/>
      <c r="R5" s="80"/>
      <c r="S5" s="80"/>
      <c r="T5" s="80"/>
    </row>
    <row r="6" spans="1:31" ht="25.5" x14ac:dyDescent="0.35">
      <c r="A6" s="431" t="s">
        <v>44</v>
      </c>
      <c r="B6" s="431"/>
      <c r="C6" s="431"/>
      <c r="D6" s="431"/>
      <c r="E6" s="431"/>
      <c r="F6" s="431"/>
      <c r="G6" s="431"/>
      <c r="H6" s="431"/>
      <c r="I6" s="431"/>
      <c r="J6" s="431"/>
      <c r="K6" s="431"/>
      <c r="L6" s="431"/>
      <c r="M6" s="431"/>
      <c r="N6" s="431"/>
      <c r="O6" s="431"/>
      <c r="P6" s="431"/>
      <c r="Q6" s="82"/>
      <c r="R6" s="82"/>
      <c r="S6" s="82"/>
      <c r="T6" s="82"/>
      <c r="U6" s="82"/>
      <c r="V6" s="82"/>
      <c r="W6" s="82"/>
      <c r="X6" s="82"/>
      <c r="Y6" s="82"/>
      <c r="Z6" s="82"/>
      <c r="AA6" s="82"/>
      <c r="AB6" s="82"/>
      <c r="AC6" s="82"/>
      <c r="AD6" s="82"/>
      <c r="AE6" s="82"/>
    </row>
    <row r="7" spans="1:31" ht="21.75" x14ac:dyDescent="0.3">
      <c r="A7" s="433" t="s">
        <v>299</v>
      </c>
      <c r="B7" s="433"/>
      <c r="C7" s="433"/>
      <c r="D7" s="433"/>
      <c r="E7" s="433"/>
      <c r="F7" s="433"/>
      <c r="G7" s="433"/>
      <c r="H7" s="433"/>
      <c r="I7" s="433"/>
      <c r="J7" s="433"/>
      <c r="K7" s="433"/>
      <c r="L7" s="433"/>
      <c r="M7" s="433"/>
      <c r="N7" s="433"/>
      <c r="O7" s="433"/>
      <c r="P7" s="433"/>
      <c r="Q7" s="82"/>
      <c r="R7" s="82"/>
      <c r="S7" s="82"/>
      <c r="T7" s="82"/>
      <c r="U7" s="82"/>
      <c r="V7" s="82"/>
      <c r="W7" s="82"/>
      <c r="X7" s="82"/>
      <c r="Y7" s="82"/>
      <c r="Z7" s="82"/>
      <c r="AA7" s="82"/>
      <c r="AB7" s="82"/>
      <c r="AC7" s="82"/>
      <c r="AD7" s="82"/>
      <c r="AE7" s="82"/>
    </row>
    <row r="8" spans="1:31" ht="24" customHeight="1" x14ac:dyDescent="0.3">
      <c r="A8" s="436" t="s">
        <v>300</v>
      </c>
      <c r="B8" s="436"/>
      <c r="C8" s="436"/>
      <c r="D8" s="436"/>
      <c r="E8" s="436"/>
      <c r="F8" s="436"/>
      <c r="G8" s="436"/>
      <c r="H8" s="436"/>
      <c r="I8" s="436"/>
      <c r="J8" s="436"/>
      <c r="K8" s="436"/>
      <c r="L8" s="436"/>
      <c r="M8" s="436"/>
      <c r="N8" s="436"/>
      <c r="O8" s="436"/>
      <c r="P8" s="436"/>
      <c r="Q8" s="83"/>
      <c r="R8" s="83"/>
      <c r="S8" s="83"/>
      <c r="T8" s="83"/>
      <c r="U8" s="83"/>
      <c r="V8" s="83"/>
      <c r="W8" s="83"/>
      <c r="X8" s="83"/>
      <c r="Y8" s="83"/>
      <c r="Z8" s="83"/>
      <c r="AA8" s="83"/>
      <c r="AB8" s="83"/>
      <c r="AC8" s="83"/>
      <c r="AD8" s="83"/>
      <c r="AE8" s="83"/>
    </row>
    <row r="9" spans="1:31" ht="22.5" x14ac:dyDescent="0.3">
      <c r="A9" s="42"/>
      <c r="B9" s="84"/>
      <c r="C9" s="42"/>
      <c r="D9" s="84"/>
      <c r="E9" s="84"/>
      <c r="F9" s="85"/>
      <c r="G9" s="85"/>
      <c r="H9" s="85"/>
      <c r="I9" s="85"/>
      <c r="J9" s="85"/>
      <c r="K9" s="86"/>
      <c r="L9" s="86"/>
      <c r="M9" s="86"/>
      <c r="N9" s="86"/>
      <c r="O9" s="86"/>
      <c r="P9" s="85"/>
      <c r="Q9" s="83"/>
      <c r="R9" s="83"/>
      <c r="S9" s="83"/>
      <c r="T9" s="83"/>
      <c r="U9" s="83"/>
      <c r="V9" s="83"/>
      <c r="W9" s="83"/>
      <c r="X9" s="83"/>
      <c r="Y9" s="83"/>
      <c r="Z9" s="83"/>
      <c r="AA9" s="83"/>
      <c r="AB9" s="83"/>
      <c r="AC9" s="83"/>
      <c r="AD9" s="83"/>
      <c r="AE9" s="83"/>
    </row>
    <row r="10" spans="1:31" ht="27.75" customHeight="1" x14ac:dyDescent="0.2">
      <c r="A10" s="437" t="s">
        <v>2</v>
      </c>
      <c r="B10" s="437" t="s">
        <v>13</v>
      </c>
      <c r="C10" s="437" t="s">
        <v>7</v>
      </c>
      <c r="D10" s="434" t="s">
        <v>45</v>
      </c>
      <c r="E10" s="434" t="s">
        <v>56</v>
      </c>
      <c r="F10" s="439" t="s">
        <v>46</v>
      </c>
      <c r="G10" s="440"/>
      <c r="H10" s="440"/>
      <c r="I10" s="441"/>
      <c r="J10" s="434" t="s">
        <v>65</v>
      </c>
      <c r="K10" s="434" t="s">
        <v>47</v>
      </c>
      <c r="L10" s="434" t="s">
        <v>48</v>
      </c>
      <c r="M10" s="434" t="s">
        <v>49</v>
      </c>
      <c r="N10" s="434" t="s">
        <v>5</v>
      </c>
      <c r="O10" s="434" t="s">
        <v>50</v>
      </c>
      <c r="P10" s="434" t="s">
        <v>64</v>
      </c>
    </row>
    <row r="11" spans="1:31" ht="39.75" customHeight="1" x14ac:dyDescent="0.2">
      <c r="A11" s="438"/>
      <c r="B11" s="460"/>
      <c r="C11" s="460"/>
      <c r="D11" s="461"/>
      <c r="E11" s="435"/>
      <c r="F11" s="87" t="s">
        <v>51</v>
      </c>
      <c r="G11" s="87" t="s">
        <v>52</v>
      </c>
      <c r="H11" s="88"/>
      <c r="I11" s="89" t="s">
        <v>11</v>
      </c>
      <c r="J11" s="438"/>
      <c r="K11" s="435"/>
      <c r="L11" s="435"/>
      <c r="M11" s="435"/>
      <c r="N11" s="435"/>
      <c r="O11" s="435"/>
      <c r="P11" s="438"/>
    </row>
    <row r="12" spans="1:31" ht="27" customHeight="1" x14ac:dyDescent="0.2">
      <c r="A12" s="445">
        <v>1</v>
      </c>
      <c r="B12" s="426">
        <v>848098</v>
      </c>
      <c r="C12" s="451" t="s">
        <v>163</v>
      </c>
      <c r="D12" s="426">
        <v>5</v>
      </c>
      <c r="E12" s="463" t="s">
        <v>283</v>
      </c>
      <c r="F12" s="417"/>
      <c r="G12" s="417"/>
      <c r="H12" s="222"/>
      <c r="I12" s="411">
        <v>75</v>
      </c>
      <c r="J12" s="411">
        <v>1</v>
      </c>
      <c r="K12" s="411">
        <v>2</v>
      </c>
      <c r="L12" s="411"/>
      <c r="M12" s="222"/>
      <c r="N12" s="222"/>
      <c r="O12" s="222"/>
      <c r="P12" s="228"/>
    </row>
    <row r="13" spans="1:31" ht="27" customHeight="1" x14ac:dyDescent="0.2">
      <c r="A13" s="462"/>
      <c r="B13" s="426"/>
      <c r="C13" s="451"/>
      <c r="D13" s="426"/>
      <c r="E13" s="464"/>
      <c r="F13" s="418"/>
      <c r="G13" s="418"/>
      <c r="H13" s="173"/>
      <c r="I13" s="416"/>
      <c r="J13" s="412"/>
      <c r="K13" s="416"/>
      <c r="L13" s="416"/>
      <c r="M13" s="173"/>
      <c r="N13" s="173"/>
      <c r="O13" s="173"/>
      <c r="P13" s="229"/>
    </row>
    <row r="14" spans="1:31" ht="27" customHeight="1" x14ac:dyDescent="0.2">
      <c r="A14" s="445">
        <v>2</v>
      </c>
      <c r="B14" s="447">
        <v>848028</v>
      </c>
      <c r="C14" s="465" t="s">
        <v>164</v>
      </c>
      <c r="D14" s="447">
        <v>4</v>
      </c>
      <c r="E14" s="463" t="s">
        <v>283</v>
      </c>
      <c r="F14" s="417">
        <v>45</v>
      </c>
      <c r="G14" s="417">
        <v>30</v>
      </c>
      <c r="H14" s="222"/>
      <c r="I14" s="411">
        <v>75</v>
      </c>
      <c r="J14" s="411">
        <v>0.8</v>
      </c>
      <c r="K14" s="411">
        <v>1</v>
      </c>
      <c r="L14" s="411">
        <v>30</v>
      </c>
      <c r="M14" s="222"/>
      <c r="N14" s="222"/>
      <c r="O14" s="222" t="s">
        <v>250</v>
      </c>
      <c r="P14" s="228"/>
    </row>
    <row r="15" spans="1:31" ht="27" customHeight="1" x14ac:dyDescent="0.2">
      <c r="A15" s="462"/>
      <c r="B15" s="447"/>
      <c r="C15" s="465"/>
      <c r="D15" s="447"/>
      <c r="E15" s="464"/>
      <c r="F15" s="418"/>
      <c r="G15" s="418"/>
      <c r="H15" s="173"/>
      <c r="I15" s="416"/>
      <c r="J15" s="412"/>
      <c r="K15" s="416"/>
      <c r="L15" s="416"/>
      <c r="M15" s="173"/>
      <c r="N15" s="173"/>
      <c r="O15" s="173"/>
      <c r="P15" s="229"/>
    </row>
    <row r="16" spans="1:31" ht="27" customHeight="1" x14ac:dyDescent="0.2">
      <c r="A16" s="445">
        <v>3</v>
      </c>
      <c r="B16" s="447">
        <v>848024</v>
      </c>
      <c r="C16" s="465" t="s">
        <v>166</v>
      </c>
      <c r="D16" s="447">
        <v>3</v>
      </c>
      <c r="E16" s="463" t="s">
        <v>283</v>
      </c>
      <c r="F16" s="417">
        <v>30</v>
      </c>
      <c r="G16" s="417">
        <v>15</v>
      </c>
      <c r="H16" s="222"/>
      <c r="I16" s="411">
        <v>45</v>
      </c>
      <c r="J16" s="411">
        <v>1</v>
      </c>
      <c r="K16" s="411">
        <v>1</v>
      </c>
      <c r="L16" s="411">
        <v>30</v>
      </c>
      <c r="M16" s="222"/>
      <c r="N16" s="222"/>
      <c r="O16" s="222" t="s">
        <v>250</v>
      </c>
      <c r="P16" s="228"/>
    </row>
    <row r="17" spans="1:16" ht="27" customHeight="1" x14ac:dyDescent="0.2">
      <c r="A17" s="462"/>
      <c r="B17" s="447"/>
      <c r="C17" s="465"/>
      <c r="D17" s="447"/>
      <c r="E17" s="464"/>
      <c r="F17" s="418"/>
      <c r="G17" s="418"/>
      <c r="H17" s="173"/>
      <c r="I17" s="416"/>
      <c r="J17" s="412"/>
      <c r="K17" s="416"/>
      <c r="L17" s="416"/>
      <c r="M17" s="173"/>
      <c r="N17" s="173"/>
      <c r="O17" s="173"/>
      <c r="P17" s="229"/>
    </row>
    <row r="18" spans="1:16" ht="27" customHeight="1" x14ac:dyDescent="0.2">
      <c r="A18" s="445">
        <v>4</v>
      </c>
      <c r="B18" s="447">
        <v>848301</v>
      </c>
      <c r="C18" s="465" t="s">
        <v>168</v>
      </c>
      <c r="D18" s="447">
        <v>2</v>
      </c>
      <c r="E18" s="463" t="s">
        <v>283</v>
      </c>
      <c r="F18" s="417">
        <v>0</v>
      </c>
      <c r="G18" s="417">
        <v>30</v>
      </c>
      <c r="H18" s="222"/>
      <c r="I18" s="411">
        <v>30</v>
      </c>
      <c r="J18" s="411">
        <v>1</v>
      </c>
      <c r="K18" s="411">
        <v>1</v>
      </c>
      <c r="L18" s="411">
        <v>30</v>
      </c>
      <c r="M18" s="222"/>
      <c r="N18" s="222"/>
      <c r="O18" s="222" t="s">
        <v>250</v>
      </c>
      <c r="P18" s="228"/>
    </row>
    <row r="19" spans="1:16" ht="27" customHeight="1" x14ac:dyDescent="0.2">
      <c r="A19" s="446"/>
      <c r="B19" s="447"/>
      <c r="C19" s="465"/>
      <c r="D19" s="447"/>
      <c r="E19" s="464"/>
      <c r="F19" s="419"/>
      <c r="G19" s="419"/>
      <c r="H19" s="224"/>
      <c r="I19" s="412"/>
      <c r="J19" s="412"/>
      <c r="K19" s="412"/>
      <c r="L19" s="412"/>
      <c r="M19" s="224"/>
      <c r="N19" s="224"/>
      <c r="O19" s="224"/>
      <c r="P19" s="230"/>
    </row>
    <row r="20" spans="1:16" ht="27" customHeight="1" x14ac:dyDescent="0.2">
      <c r="A20" s="445">
        <v>5</v>
      </c>
      <c r="B20" s="447">
        <v>848046</v>
      </c>
      <c r="C20" s="449" t="s">
        <v>169</v>
      </c>
      <c r="D20" s="447">
        <v>3</v>
      </c>
      <c r="E20" s="463" t="s">
        <v>283</v>
      </c>
      <c r="F20" s="417">
        <v>30</v>
      </c>
      <c r="G20" s="417">
        <v>15</v>
      </c>
      <c r="H20" s="251"/>
      <c r="I20" s="417">
        <v>45</v>
      </c>
      <c r="J20" s="411">
        <v>1</v>
      </c>
      <c r="K20" s="411">
        <v>1</v>
      </c>
      <c r="L20" s="411">
        <v>30</v>
      </c>
      <c r="M20" s="222">
        <v>10903</v>
      </c>
      <c r="N20" s="222" t="s">
        <v>359</v>
      </c>
      <c r="O20" s="222" t="s">
        <v>161</v>
      </c>
      <c r="P20" s="231">
        <v>45</v>
      </c>
    </row>
    <row r="21" spans="1:16" ht="27" customHeight="1" x14ac:dyDescent="0.2">
      <c r="A21" s="446"/>
      <c r="B21" s="447"/>
      <c r="C21" s="449"/>
      <c r="D21" s="447"/>
      <c r="E21" s="464"/>
      <c r="F21" s="418"/>
      <c r="G21" s="418"/>
      <c r="H21" s="251"/>
      <c r="I21" s="418"/>
      <c r="J21" s="412"/>
      <c r="K21" s="412"/>
      <c r="L21" s="412"/>
      <c r="M21" s="224"/>
      <c r="N21" s="224"/>
      <c r="O21" s="224"/>
      <c r="P21" s="232"/>
    </row>
    <row r="22" spans="1:16" ht="45" customHeight="1" x14ac:dyDescent="0.2">
      <c r="A22" s="445">
        <v>6</v>
      </c>
      <c r="B22" s="447">
        <v>842059</v>
      </c>
      <c r="C22" s="470" t="s">
        <v>295</v>
      </c>
      <c r="D22" s="447">
        <v>3</v>
      </c>
      <c r="E22" s="463" t="s">
        <v>283</v>
      </c>
      <c r="F22" s="417">
        <v>45</v>
      </c>
      <c r="G22" s="417">
        <v>0</v>
      </c>
      <c r="H22" s="251"/>
      <c r="I22" s="417">
        <v>45</v>
      </c>
      <c r="J22" s="411">
        <v>1</v>
      </c>
      <c r="K22" s="411">
        <v>1</v>
      </c>
      <c r="L22" s="411">
        <v>30</v>
      </c>
      <c r="M22" s="222">
        <v>10903</v>
      </c>
      <c r="N22" s="222"/>
      <c r="O22" s="239" t="s">
        <v>336</v>
      </c>
      <c r="P22" s="231"/>
    </row>
    <row r="23" spans="1:16" ht="27" customHeight="1" x14ac:dyDescent="0.2">
      <c r="A23" s="446"/>
      <c r="B23" s="447"/>
      <c r="C23" s="470"/>
      <c r="D23" s="447"/>
      <c r="E23" s="464"/>
      <c r="F23" s="418"/>
      <c r="G23" s="418"/>
      <c r="H23" s="251"/>
      <c r="I23" s="418"/>
      <c r="J23" s="412"/>
      <c r="K23" s="412"/>
      <c r="L23" s="412"/>
      <c r="M23" s="224"/>
      <c r="N23" s="224"/>
      <c r="O23" s="242"/>
      <c r="P23" s="232"/>
    </row>
    <row r="24" spans="1:16" ht="27" customHeight="1" x14ac:dyDescent="0.2">
      <c r="A24" s="445">
        <v>7</v>
      </c>
      <c r="B24" s="466">
        <v>848303</v>
      </c>
      <c r="C24" s="449" t="s">
        <v>296</v>
      </c>
      <c r="D24" s="447">
        <v>3</v>
      </c>
      <c r="E24" s="463" t="s">
        <v>283</v>
      </c>
      <c r="F24" s="424">
        <v>30</v>
      </c>
      <c r="G24" s="424">
        <v>15</v>
      </c>
      <c r="H24" s="251"/>
      <c r="I24" s="424">
        <v>45</v>
      </c>
      <c r="J24" s="411">
        <v>1</v>
      </c>
      <c r="K24" s="411">
        <v>1</v>
      </c>
      <c r="L24" s="411">
        <v>30</v>
      </c>
      <c r="M24" s="222">
        <v>10154</v>
      </c>
      <c r="N24" s="222" t="s">
        <v>346</v>
      </c>
      <c r="O24" s="222" t="s">
        <v>157</v>
      </c>
      <c r="P24" s="231">
        <v>45</v>
      </c>
    </row>
    <row r="25" spans="1:16" ht="27" customHeight="1" x14ac:dyDescent="0.2">
      <c r="A25" s="453"/>
      <c r="B25" s="467"/>
      <c r="C25" s="468"/>
      <c r="D25" s="466"/>
      <c r="E25" s="469"/>
      <c r="F25" s="417"/>
      <c r="G25" s="417"/>
      <c r="H25" s="251"/>
      <c r="I25" s="417"/>
      <c r="J25" s="412"/>
      <c r="K25" s="412"/>
      <c r="L25" s="412"/>
      <c r="M25" s="224"/>
      <c r="N25" s="224"/>
      <c r="O25" s="224"/>
      <c r="P25" s="232"/>
    </row>
    <row r="26" spans="1:16" ht="27" customHeight="1" x14ac:dyDescent="0.2">
      <c r="A26" s="424">
        <v>8</v>
      </c>
      <c r="B26" s="447">
        <v>841044</v>
      </c>
      <c r="C26" s="465" t="s">
        <v>170</v>
      </c>
      <c r="D26" s="447">
        <v>4</v>
      </c>
      <c r="E26" s="424" t="s">
        <v>289</v>
      </c>
      <c r="F26" s="424">
        <v>45</v>
      </c>
      <c r="G26" s="424">
        <v>30</v>
      </c>
      <c r="H26" s="252">
        <v>75</v>
      </c>
      <c r="I26" s="424">
        <v>75</v>
      </c>
      <c r="J26" s="411">
        <v>0.8</v>
      </c>
      <c r="K26" s="411">
        <v>1</v>
      </c>
      <c r="L26" s="411">
        <v>60</v>
      </c>
      <c r="M26" s="222"/>
      <c r="N26" s="222"/>
      <c r="O26" s="222" t="s">
        <v>250</v>
      </c>
      <c r="P26" s="231"/>
    </row>
    <row r="27" spans="1:16" ht="27" customHeight="1" x14ac:dyDescent="0.2">
      <c r="A27" s="424"/>
      <c r="B27" s="447"/>
      <c r="C27" s="465"/>
      <c r="D27" s="447"/>
      <c r="E27" s="424"/>
      <c r="F27" s="424"/>
      <c r="G27" s="424"/>
      <c r="H27" s="253"/>
      <c r="I27" s="424"/>
      <c r="J27" s="412"/>
      <c r="K27" s="412"/>
      <c r="L27" s="412"/>
      <c r="M27" s="224"/>
      <c r="N27" s="224"/>
      <c r="O27" s="224"/>
      <c r="P27" s="232"/>
    </row>
    <row r="28" spans="1:16" ht="27" customHeight="1" x14ac:dyDescent="0.2">
      <c r="A28" s="424">
        <v>9</v>
      </c>
      <c r="B28" s="447">
        <v>841048</v>
      </c>
      <c r="C28" s="465" t="s">
        <v>171</v>
      </c>
      <c r="D28" s="447">
        <v>4</v>
      </c>
      <c r="E28" s="424" t="s">
        <v>289</v>
      </c>
      <c r="F28" s="424">
        <v>45</v>
      </c>
      <c r="G28" s="424">
        <v>30</v>
      </c>
      <c r="H28" s="253"/>
      <c r="I28" s="424">
        <v>75</v>
      </c>
      <c r="J28" s="411">
        <v>0.8</v>
      </c>
      <c r="K28" s="411">
        <v>1</v>
      </c>
      <c r="L28" s="411">
        <v>60</v>
      </c>
      <c r="M28" s="222"/>
      <c r="N28" s="222"/>
      <c r="O28" s="222" t="s">
        <v>250</v>
      </c>
      <c r="P28" s="231"/>
    </row>
    <row r="29" spans="1:16" ht="27" customHeight="1" x14ac:dyDescent="0.2">
      <c r="A29" s="424"/>
      <c r="B29" s="447"/>
      <c r="C29" s="465"/>
      <c r="D29" s="447"/>
      <c r="E29" s="424"/>
      <c r="F29" s="424"/>
      <c r="G29" s="424"/>
      <c r="H29" s="253"/>
      <c r="I29" s="424"/>
      <c r="J29" s="412"/>
      <c r="K29" s="412"/>
      <c r="L29" s="412"/>
      <c r="M29" s="224"/>
      <c r="N29" s="224"/>
      <c r="O29" s="224"/>
      <c r="P29" s="232"/>
    </row>
    <row r="30" spans="1:16" ht="19.5" x14ac:dyDescent="0.2">
      <c r="A30" s="424">
        <v>10</v>
      </c>
      <c r="B30" s="447">
        <v>848011</v>
      </c>
      <c r="C30" s="449" t="s">
        <v>151</v>
      </c>
      <c r="D30" s="447">
        <v>4</v>
      </c>
      <c r="E30" s="424" t="s">
        <v>289</v>
      </c>
      <c r="F30" s="424">
        <v>30</v>
      </c>
      <c r="G30" s="424">
        <v>30</v>
      </c>
      <c r="H30" s="253"/>
      <c r="I30" s="424">
        <v>60</v>
      </c>
      <c r="J30" s="411">
        <v>1</v>
      </c>
      <c r="K30" s="411">
        <v>1</v>
      </c>
      <c r="L30" s="411">
        <v>90</v>
      </c>
      <c r="M30" s="222">
        <v>10933</v>
      </c>
      <c r="N30" s="222" t="s">
        <v>359</v>
      </c>
      <c r="O30" s="222" t="s">
        <v>193</v>
      </c>
      <c r="P30" s="231">
        <v>60</v>
      </c>
    </row>
    <row r="31" spans="1:16" ht="27" customHeight="1" x14ac:dyDescent="0.2">
      <c r="A31" s="424"/>
      <c r="B31" s="447"/>
      <c r="C31" s="449"/>
      <c r="D31" s="447"/>
      <c r="E31" s="424"/>
      <c r="F31" s="424"/>
      <c r="G31" s="424"/>
      <c r="H31" s="253"/>
      <c r="I31" s="424"/>
      <c r="J31" s="412"/>
      <c r="K31" s="412"/>
      <c r="L31" s="412"/>
      <c r="M31" s="224"/>
      <c r="N31" s="224"/>
      <c r="O31" s="224"/>
      <c r="P31" s="232"/>
    </row>
    <row r="32" spans="1:16" ht="27" customHeight="1" x14ac:dyDescent="0.2">
      <c r="A32" s="424">
        <v>11</v>
      </c>
      <c r="B32" s="447">
        <v>801083</v>
      </c>
      <c r="C32" s="448" t="s">
        <v>120</v>
      </c>
      <c r="D32" s="447">
        <v>3</v>
      </c>
      <c r="E32" s="424" t="s">
        <v>289</v>
      </c>
      <c r="F32" s="424">
        <v>30</v>
      </c>
      <c r="G32" s="424">
        <v>15</v>
      </c>
      <c r="H32" s="253"/>
      <c r="I32" s="424">
        <v>45</v>
      </c>
      <c r="J32" s="411">
        <v>1</v>
      </c>
      <c r="K32" s="409">
        <v>1</v>
      </c>
      <c r="L32" s="411">
        <v>50</v>
      </c>
      <c r="M32" s="222">
        <v>10904</v>
      </c>
      <c r="N32" s="222" t="s">
        <v>359</v>
      </c>
      <c r="O32" s="222" t="s">
        <v>190</v>
      </c>
      <c r="P32" s="231">
        <v>45</v>
      </c>
    </row>
    <row r="33" spans="1:16" ht="27" customHeight="1" x14ac:dyDescent="0.2">
      <c r="A33" s="417"/>
      <c r="B33" s="466"/>
      <c r="C33" s="471"/>
      <c r="D33" s="466"/>
      <c r="E33" s="417"/>
      <c r="F33" s="417"/>
      <c r="G33" s="417"/>
      <c r="H33" s="249"/>
      <c r="I33" s="417"/>
      <c r="J33" s="412"/>
      <c r="K33" s="410"/>
      <c r="L33" s="412"/>
      <c r="M33" s="224"/>
      <c r="N33" s="224"/>
      <c r="O33" s="224"/>
      <c r="P33" s="232"/>
    </row>
    <row r="34" spans="1:16" ht="19.5" x14ac:dyDescent="0.2">
      <c r="A34" s="424">
        <v>12</v>
      </c>
      <c r="B34" s="447">
        <v>848036</v>
      </c>
      <c r="C34" s="450" t="s">
        <v>172</v>
      </c>
      <c r="D34" s="424">
        <v>4</v>
      </c>
      <c r="E34" s="424" t="s">
        <v>289</v>
      </c>
      <c r="F34" s="424">
        <v>45</v>
      </c>
      <c r="G34" s="424">
        <v>15</v>
      </c>
      <c r="H34" s="253"/>
      <c r="I34" s="424">
        <v>60</v>
      </c>
      <c r="J34" s="411">
        <v>1</v>
      </c>
      <c r="K34" s="411">
        <v>1</v>
      </c>
      <c r="L34" s="411">
        <v>90</v>
      </c>
      <c r="M34" s="222">
        <v>10933</v>
      </c>
      <c r="N34" s="222" t="s">
        <v>359</v>
      </c>
      <c r="O34" s="222" t="s">
        <v>193</v>
      </c>
      <c r="P34" s="231">
        <v>60</v>
      </c>
    </row>
    <row r="35" spans="1:16" ht="27" customHeight="1" x14ac:dyDescent="0.2">
      <c r="A35" s="424"/>
      <c r="B35" s="447"/>
      <c r="C35" s="450"/>
      <c r="D35" s="424">
        <v>4</v>
      </c>
      <c r="E35" s="417"/>
      <c r="F35" s="424"/>
      <c r="G35" s="424"/>
      <c r="H35" s="253"/>
      <c r="I35" s="424"/>
      <c r="J35" s="412"/>
      <c r="K35" s="412"/>
      <c r="L35" s="412"/>
      <c r="M35" s="224"/>
      <c r="N35" s="224"/>
      <c r="O35" s="224"/>
      <c r="P35" s="232"/>
    </row>
    <row r="36" spans="1:16" ht="27" customHeight="1" x14ac:dyDescent="0.2">
      <c r="A36" s="424">
        <v>13</v>
      </c>
      <c r="B36" s="447">
        <v>848023</v>
      </c>
      <c r="C36" s="450" t="s">
        <v>173</v>
      </c>
      <c r="D36" s="424">
        <v>3</v>
      </c>
      <c r="E36" s="424" t="s">
        <v>289</v>
      </c>
      <c r="F36" s="424">
        <v>30</v>
      </c>
      <c r="G36" s="424">
        <v>15</v>
      </c>
      <c r="H36" s="253"/>
      <c r="I36" s="424">
        <v>45</v>
      </c>
      <c r="J36" s="411">
        <v>1</v>
      </c>
      <c r="K36" s="411">
        <v>1</v>
      </c>
      <c r="L36" s="411">
        <v>90</v>
      </c>
      <c r="M36" s="222">
        <v>10985</v>
      </c>
      <c r="N36" s="222" t="s">
        <v>359</v>
      </c>
      <c r="O36" s="222" t="s">
        <v>155</v>
      </c>
      <c r="P36" s="231">
        <v>45</v>
      </c>
    </row>
    <row r="37" spans="1:16" ht="27" customHeight="1" x14ac:dyDescent="0.2">
      <c r="A37" s="424"/>
      <c r="B37" s="447"/>
      <c r="C37" s="450"/>
      <c r="D37" s="424">
        <v>3</v>
      </c>
      <c r="E37" s="417"/>
      <c r="F37" s="424"/>
      <c r="G37" s="424"/>
      <c r="H37" s="253"/>
      <c r="I37" s="424"/>
      <c r="J37" s="412"/>
      <c r="K37" s="412"/>
      <c r="L37" s="412"/>
      <c r="M37" s="224"/>
      <c r="N37" s="224"/>
      <c r="O37" s="224"/>
      <c r="P37" s="232"/>
    </row>
    <row r="38" spans="1:16" ht="27" customHeight="1" x14ac:dyDescent="0.2">
      <c r="A38" s="424">
        <v>14</v>
      </c>
      <c r="B38" s="447">
        <v>848015</v>
      </c>
      <c r="C38" s="423" t="s">
        <v>196</v>
      </c>
      <c r="D38" s="424">
        <v>4</v>
      </c>
      <c r="E38" s="424" t="s">
        <v>289</v>
      </c>
      <c r="F38" s="424">
        <v>35</v>
      </c>
      <c r="G38" s="424">
        <v>25</v>
      </c>
      <c r="H38" s="253"/>
      <c r="I38" s="424">
        <v>60</v>
      </c>
      <c r="J38" s="411">
        <v>1</v>
      </c>
      <c r="K38" s="411">
        <v>1</v>
      </c>
      <c r="L38" s="411">
        <v>90</v>
      </c>
      <c r="M38" s="222">
        <v>10933</v>
      </c>
      <c r="N38" s="222" t="s">
        <v>359</v>
      </c>
      <c r="O38" s="246" t="s">
        <v>193</v>
      </c>
      <c r="P38" s="231">
        <v>60</v>
      </c>
    </row>
    <row r="39" spans="1:16" ht="27" customHeight="1" x14ac:dyDescent="0.2">
      <c r="A39" s="424"/>
      <c r="B39" s="447"/>
      <c r="C39" s="423"/>
      <c r="D39" s="424">
        <v>4</v>
      </c>
      <c r="E39" s="417"/>
      <c r="F39" s="424"/>
      <c r="G39" s="424"/>
      <c r="H39" s="253"/>
      <c r="I39" s="424"/>
      <c r="J39" s="412"/>
      <c r="K39" s="412"/>
      <c r="L39" s="412"/>
      <c r="M39" s="224"/>
      <c r="N39" s="224"/>
      <c r="O39" s="224"/>
      <c r="P39" s="232"/>
    </row>
    <row r="40" spans="1:16" ht="27" customHeight="1" x14ac:dyDescent="0.2">
      <c r="A40" s="424">
        <v>15</v>
      </c>
      <c r="B40" s="447">
        <v>848043</v>
      </c>
      <c r="C40" s="449" t="s">
        <v>174</v>
      </c>
      <c r="D40" s="424">
        <v>3</v>
      </c>
      <c r="E40" s="424" t="s">
        <v>289</v>
      </c>
      <c r="F40" s="424">
        <v>30</v>
      </c>
      <c r="G40" s="424">
        <v>15</v>
      </c>
      <c r="H40" s="253"/>
      <c r="I40" s="424">
        <v>45</v>
      </c>
      <c r="J40" s="411">
        <v>1</v>
      </c>
      <c r="K40" s="411">
        <v>1</v>
      </c>
      <c r="L40" s="411">
        <v>90</v>
      </c>
      <c r="M40" s="222">
        <v>10154</v>
      </c>
      <c r="N40" s="222" t="s">
        <v>346</v>
      </c>
      <c r="O40" s="222" t="s">
        <v>157</v>
      </c>
      <c r="P40" s="231">
        <v>45</v>
      </c>
    </row>
    <row r="41" spans="1:16" ht="27" customHeight="1" x14ac:dyDescent="0.2">
      <c r="A41" s="424"/>
      <c r="B41" s="447"/>
      <c r="C41" s="449"/>
      <c r="D41" s="424">
        <v>3</v>
      </c>
      <c r="E41" s="417"/>
      <c r="F41" s="424"/>
      <c r="G41" s="424"/>
      <c r="H41" s="253"/>
      <c r="I41" s="424"/>
      <c r="J41" s="412"/>
      <c r="K41" s="412"/>
      <c r="L41" s="412"/>
      <c r="M41" s="224"/>
      <c r="N41" s="224"/>
      <c r="O41" s="224"/>
      <c r="P41" s="232"/>
    </row>
    <row r="42" spans="1:16" ht="27" customHeight="1" x14ac:dyDescent="0.2">
      <c r="A42" s="424">
        <v>16</v>
      </c>
      <c r="B42" s="447">
        <v>848040</v>
      </c>
      <c r="C42" s="449" t="s">
        <v>297</v>
      </c>
      <c r="D42" s="424">
        <v>3</v>
      </c>
      <c r="E42" s="424" t="s">
        <v>289</v>
      </c>
      <c r="F42" s="424">
        <v>30</v>
      </c>
      <c r="G42" s="424">
        <v>15</v>
      </c>
      <c r="H42" s="253"/>
      <c r="I42" s="424">
        <v>45</v>
      </c>
      <c r="J42" s="411">
        <v>1</v>
      </c>
      <c r="K42" s="411">
        <v>1</v>
      </c>
      <c r="L42" s="411">
        <v>90</v>
      </c>
      <c r="M42" s="222">
        <v>10154</v>
      </c>
      <c r="N42" s="222" t="s">
        <v>346</v>
      </c>
      <c r="O42" s="222" t="s">
        <v>157</v>
      </c>
      <c r="P42" s="231">
        <v>45</v>
      </c>
    </row>
    <row r="43" spans="1:16" ht="27" customHeight="1" x14ac:dyDescent="0.2">
      <c r="A43" s="424"/>
      <c r="B43" s="447"/>
      <c r="C43" s="449"/>
      <c r="D43" s="424">
        <v>3</v>
      </c>
      <c r="E43" s="424"/>
      <c r="F43" s="424"/>
      <c r="G43" s="424"/>
      <c r="H43" s="253"/>
      <c r="I43" s="424"/>
      <c r="J43" s="412"/>
      <c r="K43" s="412"/>
      <c r="L43" s="412"/>
      <c r="M43" s="224"/>
      <c r="N43" s="224"/>
      <c r="O43" s="224"/>
      <c r="P43" s="232"/>
    </row>
    <row r="44" spans="1:16" ht="27" customHeight="1" x14ac:dyDescent="0.2">
      <c r="A44" s="447">
        <v>17</v>
      </c>
      <c r="B44" s="447">
        <v>801046</v>
      </c>
      <c r="C44" s="448" t="s">
        <v>124</v>
      </c>
      <c r="D44" s="447">
        <v>4</v>
      </c>
      <c r="E44" s="447" t="s">
        <v>292</v>
      </c>
      <c r="F44" s="447">
        <v>45</v>
      </c>
      <c r="G44" s="447">
        <v>15</v>
      </c>
      <c r="H44" s="251"/>
      <c r="I44" s="447">
        <v>60</v>
      </c>
      <c r="J44" s="411">
        <v>1</v>
      </c>
      <c r="K44" s="409">
        <v>1</v>
      </c>
      <c r="L44" s="411">
        <v>50</v>
      </c>
      <c r="M44" s="222"/>
      <c r="N44" s="222"/>
      <c r="O44" s="222" t="s">
        <v>194</v>
      </c>
      <c r="P44" s="231">
        <v>60</v>
      </c>
    </row>
    <row r="45" spans="1:16" ht="27" customHeight="1" x14ac:dyDescent="0.2">
      <c r="A45" s="447"/>
      <c r="B45" s="447"/>
      <c r="C45" s="448"/>
      <c r="D45" s="447"/>
      <c r="E45" s="447"/>
      <c r="F45" s="447"/>
      <c r="G45" s="447"/>
      <c r="H45" s="251"/>
      <c r="I45" s="447"/>
      <c r="J45" s="412"/>
      <c r="K45" s="410"/>
      <c r="L45" s="412"/>
      <c r="M45" s="224"/>
      <c r="N45" s="224"/>
      <c r="O45" s="224"/>
      <c r="P45" s="232"/>
    </row>
    <row r="46" spans="1:16" ht="27" customHeight="1" x14ac:dyDescent="0.2">
      <c r="A46" s="447">
        <v>18</v>
      </c>
      <c r="B46" s="447">
        <v>848411</v>
      </c>
      <c r="C46" s="465" t="s">
        <v>290</v>
      </c>
      <c r="D46" s="447">
        <v>4</v>
      </c>
      <c r="E46" s="447" t="s">
        <v>292</v>
      </c>
      <c r="F46" s="447">
        <v>45</v>
      </c>
      <c r="G46" s="447">
        <v>30</v>
      </c>
      <c r="H46" s="251"/>
      <c r="I46" s="447">
        <v>75</v>
      </c>
      <c r="J46" s="411">
        <v>0.75</v>
      </c>
      <c r="K46" s="411">
        <v>1</v>
      </c>
      <c r="L46" s="411">
        <v>80</v>
      </c>
      <c r="M46" s="222"/>
      <c r="N46" s="222"/>
      <c r="O46" s="222" t="s">
        <v>250</v>
      </c>
      <c r="P46" s="231"/>
    </row>
    <row r="47" spans="1:16" ht="27" customHeight="1" x14ac:dyDescent="0.2">
      <c r="A47" s="447"/>
      <c r="B47" s="447"/>
      <c r="C47" s="465"/>
      <c r="D47" s="447"/>
      <c r="E47" s="447"/>
      <c r="F47" s="447"/>
      <c r="G47" s="447"/>
      <c r="H47" s="251"/>
      <c r="I47" s="447"/>
      <c r="J47" s="412"/>
      <c r="K47" s="412"/>
      <c r="L47" s="412"/>
      <c r="M47" s="224"/>
      <c r="N47" s="224"/>
      <c r="O47" s="224"/>
      <c r="P47" s="232"/>
    </row>
    <row r="48" spans="1:16" ht="27" customHeight="1" x14ac:dyDescent="0.2">
      <c r="A48" s="447">
        <v>19</v>
      </c>
      <c r="B48" s="447">
        <v>801042</v>
      </c>
      <c r="C48" s="448" t="s">
        <v>298</v>
      </c>
      <c r="D48" s="447">
        <v>3</v>
      </c>
      <c r="E48" s="447" t="s">
        <v>292</v>
      </c>
      <c r="F48" s="447">
        <v>30</v>
      </c>
      <c r="G48" s="447">
        <v>15</v>
      </c>
      <c r="H48" s="251"/>
      <c r="I48" s="447">
        <v>45</v>
      </c>
      <c r="J48" s="411">
        <v>1</v>
      </c>
      <c r="K48" s="409">
        <v>1</v>
      </c>
      <c r="L48" s="411">
        <v>50</v>
      </c>
      <c r="M48" s="222">
        <v>10904</v>
      </c>
      <c r="N48" s="222" t="s">
        <v>359</v>
      </c>
      <c r="O48" s="222" t="s">
        <v>190</v>
      </c>
      <c r="P48" s="231">
        <v>45</v>
      </c>
    </row>
    <row r="49" spans="1:16" ht="27" customHeight="1" x14ac:dyDescent="0.2">
      <c r="A49" s="447"/>
      <c r="B49" s="447"/>
      <c r="C49" s="448"/>
      <c r="D49" s="447"/>
      <c r="E49" s="447"/>
      <c r="F49" s="447"/>
      <c r="G49" s="447"/>
      <c r="H49" s="251"/>
      <c r="I49" s="447"/>
      <c r="J49" s="412"/>
      <c r="K49" s="410"/>
      <c r="L49" s="412"/>
      <c r="M49" s="224"/>
      <c r="N49" s="224"/>
      <c r="O49" s="224"/>
      <c r="P49" s="232"/>
    </row>
    <row r="50" spans="1:16" ht="27" customHeight="1" x14ac:dyDescent="0.2">
      <c r="A50" s="447">
        <v>20</v>
      </c>
      <c r="B50" s="447">
        <v>832105</v>
      </c>
      <c r="C50" s="465" t="s">
        <v>175</v>
      </c>
      <c r="D50" s="447">
        <v>3</v>
      </c>
      <c r="E50" s="447" t="s">
        <v>292</v>
      </c>
      <c r="F50" s="447">
        <v>25</v>
      </c>
      <c r="G50" s="447">
        <v>20</v>
      </c>
      <c r="H50" s="251"/>
      <c r="I50" s="447">
        <v>45</v>
      </c>
      <c r="J50" s="411">
        <v>1</v>
      </c>
      <c r="K50" s="411">
        <v>1</v>
      </c>
      <c r="L50" s="411">
        <v>80</v>
      </c>
      <c r="M50" s="222"/>
      <c r="N50" s="222"/>
      <c r="O50" s="222" t="s">
        <v>307</v>
      </c>
      <c r="P50" s="231"/>
    </row>
    <row r="51" spans="1:16" ht="27" customHeight="1" x14ac:dyDescent="0.2">
      <c r="A51" s="447"/>
      <c r="B51" s="447"/>
      <c r="C51" s="465"/>
      <c r="D51" s="447"/>
      <c r="E51" s="447"/>
      <c r="F51" s="447"/>
      <c r="G51" s="447"/>
      <c r="H51" s="251"/>
      <c r="I51" s="447"/>
      <c r="J51" s="412"/>
      <c r="K51" s="412"/>
      <c r="L51" s="412"/>
      <c r="M51" s="224"/>
      <c r="N51" s="224"/>
      <c r="O51" s="224"/>
      <c r="P51" s="232"/>
    </row>
    <row r="52" spans="1:16" ht="27" customHeight="1" x14ac:dyDescent="0.2">
      <c r="A52" s="447">
        <v>21</v>
      </c>
      <c r="B52" s="447">
        <v>848410</v>
      </c>
      <c r="C52" s="448" t="s">
        <v>232</v>
      </c>
      <c r="D52" s="447">
        <v>3</v>
      </c>
      <c r="E52" s="447" t="s">
        <v>293</v>
      </c>
      <c r="F52" s="447">
        <v>30</v>
      </c>
      <c r="G52" s="447">
        <v>15</v>
      </c>
      <c r="H52" s="251"/>
      <c r="I52" s="447">
        <v>45</v>
      </c>
      <c r="J52" s="411">
        <v>1</v>
      </c>
      <c r="K52" s="411">
        <v>1</v>
      </c>
      <c r="L52" s="411">
        <v>80</v>
      </c>
      <c r="M52" s="222">
        <v>11072</v>
      </c>
      <c r="N52" s="222" t="s">
        <v>363</v>
      </c>
      <c r="O52" s="248" t="s">
        <v>183</v>
      </c>
      <c r="P52" s="231">
        <v>45</v>
      </c>
    </row>
    <row r="53" spans="1:16" ht="27" customHeight="1" x14ac:dyDescent="0.2">
      <c r="A53" s="447"/>
      <c r="B53" s="447"/>
      <c r="C53" s="448"/>
      <c r="D53" s="447"/>
      <c r="E53" s="447"/>
      <c r="F53" s="447"/>
      <c r="G53" s="447"/>
      <c r="H53" s="251"/>
      <c r="I53" s="447"/>
      <c r="J53" s="412"/>
      <c r="K53" s="412"/>
      <c r="L53" s="412"/>
      <c r="M53" s="224"/>
      <c r="N53" s="224"/>
      <c r="O53" s="224"/>
      <c r="P53" s="232"/>
    </row>
    <row r="54" spans="1:16" ht="27" customHeight="1" x14ac:dyDescent="0.2">
      <c r="A54" s="447">
        <v>22</v>
      </c>
      <c r="B54" s="447">
        <v>801145</v>
      </c>
      <c r="C54" s="448" t="s">
        <v>130</v>
      </c>
      <c r="D54" s="447">
        <v>3</v>
      </c>
      <c r="E54" s="447" t="s">
        <v>293</v>
      </c>
      <c r="F54" s="447">
        <v>30</v>
      </c>
      <c r="G54" s="447">
        <v>15</v>
      </c>
      <c r="H54" s="251"/>
      <c r="I54" s="447">
        <v>45</v>
      </c>
      <c r="J54" s="411">
        <v>1</v>
      </c>
      <c r="K54" s="411">
        <v>1</v>
      </c>
      <c r="L54" s="411">
        <v>80</v>
      </c>
      <c r="M54" s="222">
        <v>10933</v>
      </c>
      <c r="N54" s="222" t="s">
        <v>359</v>
      </c>
      <c r="O54" s="246" t="s">
        <v>193</v>
      </c>
      <c r="P54" s="231">
        <v>45</v>
      </c>
    </row>
    <row r="55" spans="1:16" ht="27" customHeight="1" x14ac:dyDescent="0.2">
      <c r="A55" s="447"/>
      <c r="B55" s="447"/>
      <c r="C55" s="448"/>
      <c r="D55" s="447"/>
      <c r="E55" s="447"/>
      <c r="F55" s="447"/>
      <c r="G55" s="447"/>
      <c r="H55" s="251"/>
      <c r="I55" s="447"/>
      <c r="J55" s="412"/>
      <c r="K55" s="412"/>
      <c r="L55" s="412"/>
      <c r="M55" s="224"/>
      <c r="N55" s="224"/>
      <c r="O55" s="224"/>
      <c r="P55" s="232"/>
    </row>
    <row r="56" spans="1:16" ht="27" customHeight="1" x14ac:dyDescent="0.2">
      <c r="A56" s="447">
        <v>23</v>
      </c>
      <c r="B56" s="447">
        <v>848002</v>
      </c>
      <c r="C56" s="448" t="s">
        <v>141</v>
      </c>
      <c r="D56" s="447">
        <v>6</v>
      </c>
      <c r="E56" s="447" t="s">
        <v>293</v>
      </c>
      <c r="F56" s="447">
        <v>60</v>
      </c>
      <c r="G56" s="447">
        <v>30</v>
      </c>
      <c r="H56" s="251"/>
      <c r="I56" s="447">
        <v>90</v>
      </c>
      <c r="J56" s="411">
        <v>1</v>
      </c>
      <c r="K56" s="409">
        <v>1</v>
      </c>
      <c r="L56" s="411">
        <v>80</v>
      </c>
      <c r="M56" s="222">
        <v>10126</v>
      </c>
      <c r="N56" s="222" t="s">
        <v>363</v>
      </c>
      <c r="O56" s="222" t="s">
        <v>223</v>
      </c>
      <c r="P56" s="222">
        <v>60</v>
      </c>
    </row>
    <row r="57" spans="1:16" ht="27" customHeight="1" x14ac:dyDescent="0.2">
      <c r="A57" s="447"/>
      <c r="B57" s="447"/>
      <c r="C57" s="448"/>
      <c r="D57" s="447"/>
      <c r="E57" s="447"/>
      <c r="F57" s="447"/>
      <c r="G57" s="447"/>
      <c r="H57" s="250"/>
      <c r="I57" s="447"/>
      <c r="J57" s="412"/>
      <c r="K57" s="410"/>
      <c r="L57" s="412"/>
      <c r="M57" s="224"/>
      <c r="N57" s="224" t="s">
        <v>346</v>
      </c>
      <c r="O57" s="224" t="s">
        <v>391</v>
      </c>
      <c r="P57" s="224">
        <v>30</v>
      </c>
    </row>
    <row r="58" spans="1:16" ht="27" customHeight="1" x14ac:dyDescent="0.2">
      <c r="A58" s="447">
        <v>23</v>
      </c>
      <c r="B58" s="447">
        <v>848002</v>
      </c>
      <c r="C58" s="448" t="s">
        <v>141</v>
      </c>
      <c r="D58" s="447">
        <v>6</v>
      </c>
      <c r="E58" s="447" t="s">
        <v>293</v>
      </c>
      <c r="F58" s="447">
        <v>60</v>
      </c>
      <c r="G58" s="447">
        <v>30</v>
      </c>
      <c r="H58" s="292"/>
      <c r="I58" s="447">
        <v>90</v>
      </c>
      <c r="J58" s="411">
        <v>1</v>
      </c>
      <c r="K58" s="409">
        <v>1</v>
      </c>
      <c r="L58" s="411">
        <v>80</v>
      </c>
      <c r="M58" s="222"/>
      <c r="N58" s="222"/>
      <c r="O58" s="222" t="s">
        <v>316</v>
      </c>
      <c r="P58" s="222">
        <v>90</v>
      </c>
    </row>
    <row r="59" spans="1:16" ht="27" customHeight="1" x14ac:dyDescent="0.2">
      <c r="A59" s="447"/>
      <c r="B59" s="447"/>
      <c r="C59" s="448"/>
      <c r="D59" s="447"/>
      <c r="E59" s="447"/>
      <c r="F59" s="447"/>
      <c r="G59" s="447"/>
      <c r="H59" s="291"/>
      <c r="I59" s="447"/>
      <c r="J59" s="412"/>
      <c r="K59" s="410"/>
      <c r="L59" s="412"/>
      <c r="M59" s="224"/>
      <c r="N59" s="224"/>
      <c r="O59" s="224"/>
      <c r="P59" s="224"/>
    </row>
    <row r="60" spans="1:16" ht="19.5" x14ac:dyDescent="0.2">
      <c r="A60" s="226"/>
      <c r="B60" s="226"/>
      <c r="C60" s="226"/>
      <c r="D60" s="227"/>
      <c r="E60" s="227"/>
      <c r="F60" s="226"/>
      <c r="G60" s="226"/>
      <c r="H60" s="227"/>
      <c r="I60" s="227"/>
      <c r="J60" s="227"/>
      <c r="K60" s="227"/>
      <c r="L60" s="227"/>
      <c r="M60" s="227"/>
      <c r="N60" s="227"/>
      <c r="O60" s="227"/>
      <c r="P60" s="226"/>
    </row>
    <row r="61" spans="1:16" ht="21.75" customHeight="1" x14ac:dyDescent="0.25">
      <c r="A61" s="457" t="s">
        <v>53</v>
      </c>
      <c r="B61" s="457"/>
      <c r="C61" s="457"/>
      <c r="D61" s="457"/>
      <c r="E61" s="457"/>
      <c r="F61" s="457"/>
      <c r="G61" s="457"/>
      <c r="H61" s="457"/>
      <c r="I61" s="457"/>
      <c r="J61" s="457"/>
      <c r="K61" s="457"/>
      <c r="L61" s="457"/>
      <c r="M61" s="90"/>
      <c r="N61" s="90"/>
      <c r="O61" s="90"/>
      <c r="P61" s="91"/>
    </row>
    <row r="62" spans="1:16" ht="19.5" x14ac:dyDescent="0.25">
      <c r="A62" s="458" t="s">
        <v>54</v>
      </c>
      <c r="B62" s="457"/>
      <c r="C62" s="90"/>
      <c r="D62" s="90"/>
      <c r="E62" s="90"/>
      <c r="F62" s="90"/>
      <c r="G62" s="90"/>
      <c r="H62" s="90"/>
      <c r="I62" s="90"/>
      <c r="J62" s="90"/>
      <c r="K62" s="90"/>
      <c r="L62" s="42"/>
      <c r="M62" s="42"/>
      <c r="N62" s="42"/>
      <c r="O62" s="42"/>
      <c r="P62" s="42"/>
    </row>
    <row r="63" spans="1:16" ht="21.75" customHeight="1" x14ac:dyDescent="0.3">
      <c r="A63" s="43"/>
      <c r="B63" s="43"/>
      <c r="C63" s="43"/>
      <c r="D63" s="43"/>
      <c r="E63" s="43"/>
      <c r="F63" s="43"/>
      <c r="G63" s="43"/>
      <c r="H63" s="43"/>
      <c r="I63" s="43"/>
      <c r="J63" s="43"/>
      <c r="K63" s="459" t="s">
        <v>94</v>
      </c>
      <c r="L63" s="459"/>
      <c r="M63" s="459"/>
      <c r="N63" s="459"/>
      <c r="O63" s="459"/>
      <c r="P63" s="42"/>
    </row>
    <row r="64" spans="1:16" ht="18.75" x14ac:dyDescent="0.25">
      <c r="A64" s="43"/>
      <c r="B64" s="43"/>
      <c r="C64" s="233" t="s">
        <v>303</v>
      </c>
      <c r="D64" s="43"/>
      <c r="E64" s="43"/>
      <c r="F64" s="43"/>
      <c r="G64" s="43"/>
      <c r="H64" s="43"/>
      <c r="I64" s="43"/>
      <c r="J64" s="43"/>
      <c r="K64" s="42"/>
      <c r="L64" s="42"/>
      <c r="M64" s="42"/>
      <c r="N64" s="42"/>
      <c r="O64" s="42"/>
      <c r="P64" s="44"/>
    </row>
    <row r="65" spans="1:18" ht="18" x14ac:dyDescent="0.25">
      <c r="A65" s="45"/>
      <c r="B65" s="45"/>
      <c r="C65" s="234" t="s">
        <v>142</v>
      </c>
      <c r="D65" s="45"/>
      <c r="E65" s="45"/>
      <c r="F65" s="45"/>
      <c r="G65" s="45"/>
      <c r="H65" s="45"/>
      <c r="I65" s="45"/>
      <c r="J65" s="45"/>
      <c r="K65" s="46"/>
      <c r="L65" s="46"/>
      <c r="M65" s="46"/>
      <c r="N65" s="46"/>
      <c r="O65" s="46"/>
      <c r="P65" s="45"/>
    </row>
    <row r="66" spans="1:18" ht="18" x14ac:dyDescent="0.25">
      <c r="A66" s="45"/>
      <c r="B66" s="45"/>
      <c r="C66" s="235" t="s">
        <v>304</v>
      </c>
      <c r="D66" s="45"/>
      <c r="E66" s="45"/>
      <c r="F66" s="45"/>
      <c r="G66" s="45"/>
      <c r="H66" s="45"/>
      <c r="I66" s="45"/>
      <c r="J66" s="45"/>
      <c r="K66" s="46"/>
      <c r="L66" s="46"/>
      <c r="M66" s="46"/>
      <c r="N66" s="46"/>
      <c r="O66" s="46"/>
      <c r="P66" s="45"/>
    </row>
    <row r="67" spans="1:18" ht="18" x14ac:dyDescent="0.25">
      <c r="A67" s="45"/>
      <c r="B67" s="45"/>
      <c r="C67" s="236" t="s">
        <v>305</v>
      </c>
      <c r="D67" s="45"/>
      <c r="E67" s="45"/>
      <c r="F67" s="45"/>
      <c r="G67" s="45"/>
      <c r="H67" s="45"/>
      <c r="I67" s="45"/>
      <c r="J67" s="45"/>
      <c r="K67" s="46"/>
      <c r="L67" s="46"/>
      <c r="M67" s="46"/>
      <c r="N67" s="46"/>
      <c r="O67" s="46"/>
      <c r="P67" s="45"/>
    </row>
    <row r="68" spans="1:18" ht="18" x14ac:dyDescent="0.25">
      <c r="A68" s="45"/>
      <c r="B68" s="45"/>
      <c r="C68" s="237" t="s">
        <v>306</v>
      </c>
      <c r="D68" s="45"/>
      <c r="E68" s="45"/>
      <c r="F68" s="45"/>
      <c r="G68" s="45"/>
      <c r="H68" s="45"/>
      <c r="I68" s="45"/>
      <c r="J68" s="45"/>
      <c r="K68" s="46"/>
      <c r="L68" s="46"/>
      <c r="M68" s="46"/>
      <c r="N68" s="46"/>
      <c r="O68" s="46"/>
      <c r="P68" s="47"/>
    </row>
    <row r="69" spans="1:18" ht="18" x14ac:dyDescent="0.25">
      <c r="A69" s="45"/>
      <c r="B69" s="45"/>
      <c r="C69" s="45"/>
      <c r="D69" s="45"/>
      <c r="E69" s="45"/>
      <c r="F69" s="45"/>
      <c r="G69" s="45"/>
      <c r="H69" s="45"/>
      <c r="I69" s="45"/>
      <c r="J69" s="45"/>
      <c r="K69" s="46"/>
      <c r="L69" s="46"/>
      <c r="M69" s="46"/>
      <c r="N69" s="46"/>
      <c r="O69" s="46"/>
      <c r="P69" s="46"/>
      <c r="R69" s="28" t="s">
        <v>55</v>
      </c>
    </row>
    <row r="70" spans="1:18" ht="18" x14ac:dyDescent="0.25">
      <c r="A70" s="45"/>
      <c r="B70" s="45"/>
      <c r="C70" s="45"/>
      <c r="D70" s="45"/>
      <c r="E70" s="45"/>
      <c r="F70" s="45"/>
      <c r="G70" s="45"/>
      <c r="H70" s="45"/>
      <c r="I70" s="45"/>
      <c r="J70" s="45"/>
      <c r="K70" s="46"/>
      <c r="L70" s="46"/>
      <c r="M70" s="46"/>
      <c r="N70" s="46"/>
      <c r="O70" s="46"/>
      <c r="P70" s="46"/>
    </row>
    <row r="71" spans="1:18" ht="18" x14ac:dyDescent="0.25">
      <c r="A71" s="45"/>
      <c r="B71" s="45"/>
      <c r="C71" s="45"/>
      <c r="D71" s="45"/>
      <c r="E71" s="45"/>
      <c r="F71" s="45"/>
      <c r="G71" s="45"/>
      <c r="H71" s="45"/>
      <c r="I71" s="45"/>
      <c r="J71" s="45"/>
      <c r="K71" s="46"/>
      <c r="L71" s="46"/>
      <c r="M71" s="46"/>
      <c r="N71" s="46"/>
      <c r="O71" s="46"/>
      <c r="P71" s="46"/>
    </row>
  </sheetData>
  <mergeCells count="289">
    <mergeCell ref="K58:K59"/>
    <mergeCell ref="L58:L59"/>
    <mergeCell ref="A58:A59"/>
    <mergeCell ref="B58:B59"/>
    <mergeCell ref="C58:C59"/>
    <mergeCell ref="D58:D59"/>
    <mergeCell ref="E58:E59"/>
    <mergeCell ref="F58:F59"/>
    <mergeCell ref="G58:G59"/>
    <mergeCell ref="I58:I59"/>
    <mergeCell ref="J58:J59"/>
    <mergeCell ref="L56:L57"/>
    <mergeCell ref="A61:L61"/>
    <mergeCell ref="A62:B62"/>
    <mergeCell ref="K63:O63"/>
    <mergeCell ref="A54:A55"/>
    <mergeCell ref="B54:B55"/>
    <mergeCell ref="C54:C55"/>
    <mergeCell ref="D54:D55"/>
    <mergeCell ref="E54:E55"/>
    <mergeCell ref="A56:A57"/>
    <mergeCell ref="B56:B57"/>
    <mergeCell ref="C56:C57"/>
    <mergeCell ref="D56:D57"/>
    <mergeCell ref="L54:L55"/>
    <mergeCell ref="K56:K57"/>
    <mergeCell ref="F54:F55"/>
    <mergeCell ref="G54:G55"/>
    <mergeCell ref="I54:I55"/>
    <mergeCell ref="J54:J55"/>
    <mergeCell ref="K54:K55"/>
    <mergeCell ref="E56:E57"/>
    <mergeCell ref="F56:F57"/>
    <mergeCell ref="G56:G57"/>
    <mergeCell ref="I56:I57"/>
    <mergeCell ref="L50:L51"/>
    <mergeCell ref="A52:A53"/>
    <mergeCell ref="B52:B53"/>
    <mergeCell ref="C52:C53"/>
    <mergeCell ref="D52:D53"/>
    <mergeCell ref="E52:E53"/>
    <mergeCell ref="F52:F53"/>
    <mergeCell ref="G52:G53"/>
    <mergeCell ref="I52:I53"/>
    <mergeCell ref="J52:J53"/>
    <mergeCell ref="K52:K53"/>
    <mergeCell ref="L52:L53"/>
    <mergeCell ref="A50:A51"/>
    <mergeCell ref="B50:B51"/>
    <mergeCell ref="C50:C51"/>
    <mergeCell ref="D50:D51"/>
    <mergeCell ref="E50:E51"/>
    <mergeCell ref="F50:F51"/>
    <mergeCell ref="G50:G51"/>
    <mergeCell ref="I50:I51"/>
    <mergeCell ref="J50:J51"/>
    <mergeCell ref="J56:J57"/>
    <mergeCell ref="K46:K47"/>
    <mergeCell ref="L46:L47"/>
    <mergeCell ref="A48:A49"/>
    <mergeCell ref="B48:B49"/>
    <mergeCell ref="C48:C49"/>
    <mergeCell ref="D48:D49"/>
    <mergeCell ref="E48:E49"/>
    <mergeCell ref="F48:F49"/>
    <mergeCell ref="G48:G49"/>
    <mergeCell ref="I48:I49"/>
    <mergeCell ref="J48:J49"/>
    <mergeCell ref="K48:K49"/>
    <mergeCell ref="L48:L49"/>
    <mergeCell ref="A46:A47"/>
    <mergeCell ref="B46:B47"/>
    <mergeCell ref="C46:C47"/>
    <mergeCell ref="D46:D47"/>
    <mergeCell ref="E46:E47"/>
    <mergeCell ref="F46:F47"/>
    <mergeCell ref="G46:G47"/>
    <mergeCell ref="I46:I47"/>
    <mergeCell ref="J46:J47"/>
    <mergeCell ref="K50:K51"/>
    <mergeCell ref="K42:K43"/>
    <mergeCell ref="L42:L43"/>
    <mergeCell ref="A44:A45"/>
    <mergeCell ref="B44:B45"/>
    <mergeCell ref="C44:C45"/>
    <mergeCell ref="D44:D45"/>
    <mergeCell ref="E44:E45"/>
    <mergeCell ref="F44:F45"/>
    <mergeCell ref="G44:G45"/>
    <mergeCell ref="I44:I45"/>
    <mergeCell ref="J44:J45"/>
    <mergeCell ref="K44:K45"/>
    <mergeCell ref="L44:L45"/>
    <mergeCell ref="A42:A43"/>
    <mergeCell ref="B42:B43"/>
    <mergeCell ref="C42:C43"/>
    <mergeCell ref="D42:D43"/>
    <mergeCell ref="E42:E43"/>
    <mergeCell ref="F42:F43"/>
    <mergeCell ref="G42:G43"/>
    <mergeCell ref="I42:I43"/>
    <mergeCell ref="J42:J43"/>
    <mergeCell ref="K38:K39"/>
    <mergeCell ref="L38:L39"/>
    <mergeCell ref="A40:A41"/>
    <mergeCell ref="B40:B41"/>
    <mergeCell ref="C40:C41"/>
    <mergeCell ref="D40:D41"/>
    <mergeCell ref="E40:E41"/>
    <mergeCell ref="F40:F41"/>
    <mergeCell ref="G40:G41"/>
    <mergeCell ref="I40:I41"/>
    <mergeCell ref="J40:J41"/>
    <mergeCell ref="K40:K41"/>
    <mergeCell ref="L40:L41"/>
    <mergeCell ref="A38:A39"/>
    <mergeCell ref="B38:B39"/>
    <mergeCell ref="C38:C39"/>
    <mergeCell ref="D38:D39"/>
    <mergeCell ref="E38:E39"/>
    <mergeCell ref="F38:F39"/>
    <mergeCell ref="G38:G39"/>
    <mergeCell ref="I38:I39"/>
    <mergeCell ref="J38:J39"/>
    <mergeCell ref="K36:K37"/>
    <mergeCell ref="L36:L37"/>
    <mergeCell ref="A34:A35"/>
    <mergeCell ref="B34:B35"/>
    <mergeCell ref="C34:C35"/>
    <mergeCell ref="D34:D35"/>
    <mergeCell ref="E34:E35"/>
    <mergeCell ref="F34:F35"/>
    <mergeCell ref="G34:G35"/>
    <mergeCell ref="I34:I35"/>
    <mergeCell ref="J34:J35"/>
    <mergeCell ref="A36:A37"/>
    <mergeCell ref="B36:B37"/>
    <mergeCell ref="C36:C37"/>
    <mergeCell ref="D36:D37"/>
    <mergeCell ref="E36:E37"/>
    <mergeCell ref="F36:F37"/>
    <mergeCell ref="G36:G37"/>
    <mergeCell ref="I36:I37"/>
    <mergeCell ref="J36:J37"/>
    <mergeCell ref="K34:K35"/>
    <mergeCell ref="L34:L35"/>
    <mergeCell ref="K30:K31"/>
    <mergeCell ref="L30:L31"/>
    <mergeCell ref="A32:A33"/>
    <mergeCell ref="B32:B33"/>
    <mergeCell ref="C32:C33"/>
    <mergeCell ref="D32:D33"/>
    <mergeCell ref="E32:E33"/>
    <mergeCell ref="F32:F33"/>
    <mergeCell ref="G32:G33"/>
    <mergeCell ref="I32:I33"/>
    <mergeCell ref="J32:J33"/>
    <mergeCell ref="K32:K33"/>
    <mergeCell ref="L32:L33"/>
    <mergeCell ref="A30:A31"/>
    <mergeCell ref="B30:B31"/>
    <mergeCell ref="C30:C31"/>
    <mergeCell ref="D30:D31"/>
    <mergeCell ref="E30:E31"/>
    <mergeCell ref="F30:F31"/>
    <mergeCell ref="G30:G31"/>
    <mergeCell ref="I30:I31"/>
    <mergeCell ref="J30:J31"/>
    <mergeCell ref="K26:K27"/>
    <mergeCell ref="L26:L27"/>
    <mergeCell ref="A28:A29"/>
    <mergeCell ref="B28:B29"/>
    <mergeCell ref="C28:C29"/>
    <mergeCell ref="D28:D29"/>
    <mergeCell ref="E28:E29"/>
    <mergeCell ref="F28:F29"/>
    <mergeCell ref="G28:G29"/>
    <mergeCell ref="I28:I29"/>
    <mergeCell ref="J28:J29"/>
    <mergeCell ref="K28:K29"/>
    <mergeCell ref="L28:L29"/>
    <mergeCell ref="A26:A27"/>
    <mergeCell ref="B26:B27"/>
    <mergeCell ref="C26:C27"/>
    <mergeCell ref="D26:D27"/>
    <mergeCell ref="E26:E27"/>
    <mergeCell ref="F26:F27"/>
    <mergeCell ref="G26:G27"/>
    <mergeCell ref="I26:I27"/>
    <mergeCell ref="J26:J27"/>
    <mergeCell ref="K22:K23"/>
    <mergeCell ref="L22:L23"/>
    <mergeCell ref="A24:A25"/>
    <mergeCell ref="B24:B25"/>
    <mergeCell ref="C24:C25"/>
    <mergeCell ref="D24:D25"/>
    <mergeCell ref="E24:E25"/>
    <mergeCell ref="F24:F25"/>
    <mergeCell ref="G24:G25"/>
    <mergeCell ref="I24:I25"/>
    <mergeCell ref="J24:J25"/>
    <mergeCell ref="K24:K25"/>
    <mergeCell ref="L24:L25"/>
    <mergeCell ref="A22:A23"/>
    <mergeCell ref="B22:B23"/>
    <mergeCell ref="C22:C23"/>
    <mergeCell ref="D22:D23"/>
    <mergeCell ref="E22:E23"/>
    <mergeCell ref="F22:F23"/>
    <mergeCell ref="G22:G23"/>
    <mergeCell ref="I22:I23"/>
    <mergeCell ref="J22:J23"/>
    <mergeCell ref="K18:K19"/>
    <mergeCell ref="L18:L19"/>
    <mergeCell ref="A20:A21"/>
    <mergeCell ref="B20:B21"/>
    <mergeCell ref="C20:C21"/>
    <mergeCell ref="D20:D21"/>
    <mergeCell ref="E20:E21"/>
    <mergeCell ref="F20:F21"/>
    <mergeCell ref="G20:G21"/>
    <mergeCell ref="I20:I21"/>
    <mergeCell ref="J20:J21"/>
    <mergeCell ref="K20:K21"/>
    <mergeCell ref="L20:L21"/>
    <mergeCell ref="A18:A19"/>
    <mergeCell ref="B18:B19"/>
    <mergeCell ref="C18:C19"/>
    <mergeCell ref="D18:D19"/>
    <mergeCell ref="E18:E19"/>
    <mergeCell ref="F18:F19"/>
    <mergeCell ref="G18:G19"/>
    <mergeCell ref="I18:I19"/>
    <mergeCell ref="J18:J19"/>
    <mergeCell ref="F16:F17"/>
    <mergeCell ref="F14:F15"/>
    <mergeCell ref="G14:G15"/>
    <mergeCell ref="I14:I15"/>
    <mergeCell ref="G16:G17"/>
    <mergeCell ref="I16:I17"/>
    <mergeCell ref="J16:J17"/>
    <mergeCell ref="K16:K17"/>
    <mergeCell ref="L16:L17"/>
    <mergeCell ref="A16:A17"/>
    <mergeCell ref="B16:B17"/>
    <mergeCell ref="C16:C17"/>
    <mergeCell ref="D16:D17"/>
    <mergeCell ref="E16:E17"/>
    <mergeCell ref="B14:B15"/>
    <mergeCell ref="C14:C15"/>
    <mergeCell ref="D14:D15"/>
    <mergeCell ref="E14:E15"/>
    <mergeCell ref="A1:C1"/>
    <mergeCell ref="G1:O1"/>
    <mergeCell ref="A2:C2"/>
    <mergeCell ref="G2:O2"/>
    <mergeCell ref="A3:C3"/>
    <mergeCell ref="G4:O4"/>
    <mergeCell ref="F12:F13"/>
    <mergeCell ref="A14:A15"/>
    <mergeCell ref="K10:K11"/>
    <mergeCell ref="L14:L15"/>
    <mergeCell ref="G12:G13"/>
    <mergeCell ref="I12:I13"/>
    <mergeCell ref="J12:J13"/>
    <mergeCell ref="K12:K13"/>
    <mergeCell ref="L10:L11"/>
    <mergeCell ref="J14:J15"/>
    <mergeCell ref="K14:K15"/>
    <mergeCell ref="L12:L13"/>
    <mergeCell ref="F10:I10"/>
    <mergeCell ref="A12:A13"/>
    <mergeCell ref="B12:B13"/>
    <mergeCell ref="C12:C13"/>
    <mergeCell ref="D12:D13"/>
    <mergeCell ref="E12:E13"/>
    <mergeCell ref="P10:P11"/>
    <mergeCell ref="A6:P6"/>
    <mergeCell ref="A7:P7"/>
    <mergeCell ref="A8:P8"/>
    <mergeCell ref="A10:A11"/>
    <mergeCell ref="B10:B11"/>
    <mergeCell ref="C10:C11"/>
    <mergeCell ref="D10:D11"/>
    <mergeCell ref="E10:E11"/>
    <mergeCell ref="M10:M11"/>
    <mergeCell ref="N10:N11"/>
    <mergeCell ref="O10:O11"/>
    <mergeCell ref="J10:J11"/>
  </mergeCell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8"/>
  <sheetViews>
    <sheetView topLeftCell="A34" zoomScale="85" zoomScaleNormal="85" zoomScaleSheetLayoutView="85" workbookViewId="0">
      <selection activeCell="K50" sqref="K50:O50"/>
    </sheetView>
  </sheetViews>
  <sheetFormatPr defaultColWidth="8" defaultRowHeight="15" x14ac:dyDescent="0.2"/>
  <cols>
    <col min="1" max="1" width="5.625" style="32" customWidth="1"/>
    <col min="2" max="2" width="11" style="32" customWidth="1"/>
    <col min="3" max="3" width="47.375" style="32" customWidth="1"/>
    <col min="4" max="4" width="6.375" style="32" customWidth="1"/>
    <col min="5" max="5" width="7.125" style="32" customWidth="1"/>
    <col min="6" max="7" width="6.375" style="32" customWidth="1"/>
    <col min="8" max="8" width="8.375" style="32" hidden="1" customWidth="1"/>
    <col min="9" max="9" width="6.125" style="32" customWidth="1"/>
    <col min="10" max="10" width="8.875" style="32" customWidth="1"/>
    <col min="11" max="11" width="8.875" style="28" customWidth="1"/>
    <col min="12" max="12" width="9.125" style="28" customWidth="1"/>
    <col min="13" max="13" width="11.375" style="28" customWidth="1"/>
    <col min="14" max="14" width="10.375" style="28" customWidth="1"/>
    <col min="15" max="15" width="25.625" style="28" customWidth="1"/>
    <col min="16" max="16" width="12.375" style="28" customWidth="1"/>
    <col min="17" max="17" width="1.375" style="28" customWidth="1"/>
    <col min="18" max="16384" width="8" style="28"/>
  </cols>
  <sheetData>
    <row r="1" spans="1:22" ht="20.25" x14ac:dyDescent="0.3">
      <c r="A1" s="429" t="s">
        <v>107</v>
      </c>
      <c r="B1" s="429"/>
      <c r="C1" s="429"/>
      <c r="D1" s="24"/>
      <c r="E1" s="24"/>
      <c r="F1" s="23"/>
      <c r="G1" s="425" t="s">
        <v>42</v>
      </c>
      <c r="H1" s="425"/>
      <c r="I1" s="425"/>
      <c r="J1" s="425"/>
      <c r="K1" s="425"/>
      <c r="L1" s="425"/>
      <c r="M1" s="425"/>
      <c r="N1" s="425"/>
      <c r="O1" s="425"/>
      <c r="P1" s="26"/>
      <c r="Q1" s="27"/>
      <c r="R1" s="27"/>
    </row>
    <row r="2" spans="1:22" ht="20.25" x14ac:dyDescent="0.3">
      <c r="A2" s="429" t="s">
        <v>108</v>
      </c>
      <c r="B2" s="429"/>
      <c r="C2" s="429"/>
      <c r="D2" s="24"/>
      <c r="E2" s="24"/>
      <c r="F2" s="23"/>
      <c r="G2" s="425" t="s">
        <v>43</v>
      </c>
      <c r="H2" s="425"/>
      <c r="I2" s="425"/>
      <c r="J2" s="425"/>
      <c r="K2" s="425"/>
      <c r="L2" s="425"/>
      <c r="M2" s="425"/>
      <c r="N2" s="425"/>
      <c r="O2" s="425"/>
      <c r="P2" s="26"/>
      <c r="Q2" s="27"/>
      <c r="R2" s="27"/>
    </row>
    <row r="3" spans="1:22" ht="20.25" x14ac:dyDescent="0.3">
      <c r="A3" s="425" t="s">
        <v>0</v>
      </c>
      <c r="B3" s="425"/>
      <c r="C3" s="425"/>
      <c r="D3" s="26"/>
      <c r="E3" s="26"/>
      <c r="F3" s="23"/>
      <c r="G3" s="23"/>
      <c r="H3" s="23"/>
      <c r="I3" s="23"/>
      <c r="J3" s="23"/>
      <c r="K3" s="25"/>
      <c r="L3" s="25"/>
      <c r="M3" s="29"/>
      <c r="N3" s="29"/>
      <c r="O3" s="29"/>
      <c r="P3" s="29"/>
      <c r="Q3" s="30"/>
      <c r="R3" s="30"/>
    </row>
    <row r="4" spans="1:22" ht="25.5" x14ac:dyDescent="0.35">
      <c r="A4" s="23"/>
      <c r="B4" s="31"/>
      <c r="D4" s="26"/>
      <c r="E4" s="26"/>
      <c r="G4" s="430" t="s">
        <v>266</v>
      </c>
      <c r="H4" s="430"/>
      <c r="I4" s="430"/>
      <c r="J4" s="430"/>
      <c r="K4" s="430"/>
      <c r="L4" s="430"/>
      <c r="M4" s="430"/>
      <c r="N4" s="430"/>
      <c r="O4" s="430"/>
      <c r="P4" s="72"/>
      <c r="Q4" s="30"/>
      <c r="R4" s="30"/>
    </row>
    <row r="5" spans="1:22" ht="25.5" x14ac:dyDescent="0.35">
      <c r="A5" s="23"/>
      <c r="B5" s="31"/>
      <c r="D5" s="26"/>
      <c r="E5" s="26"/>
      <c r="F5" s="59"/>
      <c r="G5" s="59"/>
      <c r="H5" s="59"/>
      <c r="I5" s="59"/>
      <c r="J5" s="59"/>
      <c r="K5" s="59"/>
      <c r="L5" s="59"/>
      <c r="M5" s="59"/>
      <c r="N5" s="59"/>
      <c r="O5" s="59"/>
      <c r="P5" s="59"/>
      <c r="Q5" s="30"/>
      <c r="R5" s="30"/>
    </row>
    <row r="6" spans="1:22" ht="25.5" x14ac:dyDescent="0.35">
      <c r="A6" s="490" t="s">
        <v>44</v>
      </c>
      <c r="B6" s="490"/>
      <c r="C6" s="490"/>
      <c r="D6" s="490"/>
      <c r="E6" s="490"/>
      <c r="F6" s="490"/>
      <c r="G6" s="490"/>
      <c r="H6" s="490"/>
      <c r="I6" s="490"/>
      <c r="J6" s="490"/>
      <c r="K6" s="490"/>
      <c r="L6" s="490"/>
      <c r="M6" s="490"/>
      <c r="N6" s="490"/>
      <c r="O6" s="490"/>
      <c r="P6" s="490"/>
      <c r="Q6" s="33"/>
      <c r="R6" s="33"/>
      <c r="S6" s="33"/>
      <c r="T6" s="33"/>
      <c r="U6" s="33"/>
      <c r="V6" s="33"/>
    </row>
    <row r="7" spans="1:22" ht="21.75" x14ac:dyDescent="0.3">
      <c r="A7" s="491" t="s">
        <v>267</v>
      </c>
      <c r="B7" s="491"/>
      <c r="C7" s="491"/>
      <c r="D7" s="491"/>
      <c r="E7" s="491"/>
      <c r="F7" s="491"/>
      <c r="G7" s="491"/>
      <c r="H7" s="491"/>
      <c r="I7" s="491"/>
      <c r="J7" s="491"/>
      <c r="K7" s="491"/>
      <c r="L7" s="491"/>
      <c r="M7" s="491"/>
      <c r="N7" s="491"/>
      <c r="O7" s="491"/>
      <c r="P7" s="491"/>
      <c r="Q7" s="33"/>
      <c r="R7" s="33"/>
      <c r="S7" s="33"/>
      <c r="T7" s="33"/>
      <c r="U7" s="33"/>
      <c r="V7" s="33"/>
    </row>
    <row r="8" spans="1:22" ht="24" customHeight="1" x14ac:dyDescent="0.25">
      <c r="A8" s="491" t="s">
        <v>245</v>
      </c>
      <c r="B8" s="491"/>
      <c r="C8" s="491"/>
      <c r="D8" s="491"/>
      <c r="E8" s="491"/>
      <c r="F8" s="491"/>
      <c r="G8" s="491"/>
      <c r="H8" s="491"/>
      <c r="I8" s="491"/>
      <c r="J8" s="491"/>
      <c r="K8" s="491"/>
      <c r="L8" s="491"/>
      <c r="M8" s="491"/>
      <c r="N8" s="491"/>
      <c r="O8" s="491"/>
      <c r="P8" s="491"/>
      <c r="Q8" s="34"/>
      <c r="R8" s="34"/>
      <c r="S8" s="34"/>
      <c r="T8" s="34"/>
      <c r="U8" s="34"/>
      <c r="V8" s="34"/>
    </row>
    <row r="9" spans="1:22" ht="22.5" x14ac:dyDescent="0.3">
      <c r="A9" s="35"/>
      <c r="B9" s="36"/>
      <c r="C9" s="35"/>
      <c r="D9" s="36"/>
      <c r="E9" s="36"/>
      <c r="F9" s="37"/>
      <c r="G9" s="37"/>
      <c r="H9" s="37"/>
      <c r="I9" s="37"/>
      <c r="J9" s="37"/>
      <c r="K9" s="38"/>
      <c r="L9" s="38"/>
      <c r="M9" s="38"/>
      <c r="N9" s="38"/>
      <c r="O9" s="38"/>
      <c r="P9" s="37"/>
      <c r="Q9" s="34"/>
      <c r="R9" s="34"/>
      <c r="S9" s="34"/>
      <c r="T9" s="34"/>
      <c r="U9" s="34"/>
      <c r="V9" s="34"/>
    </row>
    <row r="10" spans="1:22" ht="27.75" customHeight="1" x14ac:dyDescent="0.2">
      <c r="A10" s="492" t="s">
        <v>2</v>
      </c>
      <c r="B10" s="492" t="s">
        <v>13</v>
      </c>
      <c r="C10" s="492" t="s">
        <v>7</v>
      </c>
      <c r="D10" s="488" t="s">
        <v>45</v>
      </c>
      <c r="E10" s="488" t="s">
        <v>56</v>
      </c>
      <c r="F10" s="494" t="s">
        <v>46</v>
      </c>
      <c r="G10" s="495"/>
      <c r="H10" s="495"/>
      <c r="I10" s="496"/>
      <c r="J10" s="488" t="s">
        <v>65</v>
      </c>
      <c r="K10" s="488" t="s">
        <v>47</v>
      </c>
      <c r="L10" s="488" t="s">
        <v>48</v>
      </c>
      <c r="M10" s="488" t="s">
        <v>49</v>
      </c>
      <c r="N10" s="488" t="s">
        <v>5</v>
      </c>
      <c r="O10" s="488" t="s">
        <v>50</v>
      </c>
      <c r="P10" s="488" t="s">
        <v>64</v>
      </c>
    </row>
    <row r="11" spans="1:22" ht="39.75" customHeight="1" x14ac:dyDescent="0.2">
      <c r="A11" s="489"/>
      <c r="B11" s="489"/>
      <c r="C11" s="489"/>
      <c r="D11" s="493"/>
      <c r="E11" s="493"/>
      <c r="F11" s="56" t="s">
        <v>51</v>
      </c>
      <c r="G11" s="56" t="s">
        <v>52</v>
      </c>
      <c r="H11" s="57"/>
      <c r="I11" s="58" t="s">
        <v>11</v>
      </c>
      <c r="J11" s="489"/>
      <c r="K11" s="493"/>
      <c r="L11" s="493"/>
      <c r="M11" s="493"/>
      <c r="N11" s="493"/>
      <c r="O11" s="493"/>
      <c r="P11" s="489"/>
    </row>
    <row r="12" spans="1:22" s="39" customFormat="1" ht="19.5" x14ac:dyDescent="0.2">
      <c r="A12" s="472">
        <v>1</v>
      </c>
      <c r="B12" s="472">
        <v>801083</v>
      </c>
      <c r="C12" s="483" t="s">
        <v>120</v>
      </c>
      <c r="D12" s="474">
        <v>3</v>
      </c>
      <c r="E12" s="474" t="s">
        <v>125</v>
      </c>
      <c r="F12" s="472">
        <v>30</v>
      </c>
      <c r="G12" s="472">
        <v>15</v>
      </c>
      <c r="H12" s="75"/>
      <c r="I12" s="474">
        <v>45</v>
      </c>
      <c r="J12" s="474">
        <v>1</v>
      </c>
      <c r="K12" s="474">
        <v>1</v>
      </c>
      <c r="L12" s="474">
        <v>60</v>
      </c>
      <c r="M12" s="177">
        <v>11381</v>
      </c>
      <c r="N12" s="177" t="s">
        <v>361</v>
      </c>
      <c r="O12" s="246" t="s">
        <v>195</v>
      </c>
      <c r="P12" s="178">
        <v>45</v>
      </c>
    </row>
    <row r="13" spans="1:22" s="39" customFormat="1" ht="21" customHeight="1" x14ac:dyDescent="0.2">
      <c r="A13" s="480"/>
      <c r="B13" s="473"/>
      <c r="C13" s="484"/>
      <c r="D13" s="475"/>
      <c r="E13" s="475"/>
      <c r="F13" s="473"/>
      <c r="G13" s="473"/>
      <c r="H13" s="76"/>
      <c r="I13" s="475"/>
      <c r="J13" s="475"/>
      <c r="K13" s="478"/>
      <c r="L13" s="478"/>
      <c r="M13" s="179"/>
      <c r="N13" s="179"/>
      <c r="O13" s="179"/>
      <c r="P13" s="180"/>
    </row>
    <row r="14" spans="1:22" s="39" customFormat="1" ht="39" x14ac:dyDescent="0.2">
      <c r="A14" s="472">
        <v>2</v>
      </c>
      <c r="B14" s="472">
        <v>801078</v>
      </c>
      <c r="C14" s="483" t="s">
        <v>121</v>
      </c>
      <c r="D14" s="474">
        <v>3</v>
      </c>
      <c r="E14" s="474" t="s">
        <v>125</v>
      </c>
      <c r="F14" s="472">
        <v>30</v>
      </c>
      <c r="G14" s="472">
        <v>15</v>
      </c>
      <c r="H14" s="75"/>
      <c r="I14" s="474">
        <v>45</v>
      </c>
      <c r="J14" s="474">
        <v>1</v>
      </c>
      <c r="K14" s="474">
        <v>1</v>
      </c>
      <c r="L14" s="474">
        <v>60</v>
      </c>
      <c r="M14" s="177">
        <v>10873</v>
      </c>
      <c r="N14" s="177" t="s">
        <v>360</v>
      </c>
      <c r="O14" s="246" t="s">
        <v>189</v>
      </c>
      <c r="P14" s="178">
        <v>45</v>
      </c>
    </row>
    <row r="15" spans="1:22" s="39" customFormat="1" ht="21" customHeight="1" x14ac:dyDescent="0.2">
      <c r="A15" s="480"/>
      <c r="B15" s="473"/>
      <c r="C15" s="484"/>
      <c r="D15" s="475"/>
      <c r="E15" s="475"/>
      <c r="F15" s="473"/>
      <c r="G15" s="473"/>
      <c r="H15" s="76"/>
      <c r="I15" s="475"/>
      <c r="J15" s="475"/>
      <c r="K15" s="478"/>
      <c r="L15" s="478"/>
      <c r="M15" s="179"/>
      <c r="N15" s="179"/>
      <c r="O15" s="179"/>
      <c r="P15" s="180"/>
    </row>
    <row r="16" spans="1:22" s="39" customFormat="1" ht="21" customHeight="1" x14ac:dyDescent="0.2">
      <c r="A16" s="472">
        <v>3</v>
      </c>
      <c r="B16" s="472">
        <v>801091</v>
      </c>
      <c r="C16" s="481" t="s">
        <v>122</v>
      </c>
      <c r="D16" s="474">
        <v>1</v>
      </c>
      <c r="E16" s="474" t="s">
        <v>125</v>
      </c>
      <c r="F16" s="472">
        <v>0</v>
      </c>
      <c r="G16" s="472">
        <v>30</v>
      </c>
      <c r="H16" s="75"/>
      <c r="I16" s="474">
        <v>30</v>
      </c>
      <c r="J16" s="474">
        <v>0.5</v>
      </c>
      <c r="K16" s="474">
        <v>1</v>
      </c>
      <c r="L16" s="474">
        <v>60</v>
      </c>
      <c r="M16" s="177">
        <v>10987</v>
      </c>
      <c r="N16" s="177" t="s">
        <v>359</v>
      </c>
      <c r="O16" s="177" t="s">
        <v>145</v>
      </c>
      <c r="P16" s="178">
        <v>15</v>
      </c>
    </row>
    <row r="17" spans="1:16" s="39" customFormat="1" ht="21" customHeight="1" x14ac:dyDescent="0.2">
      <c r="A17" s="480"/>
      <c r="B17" s="473"/>
      <c r="C17" s="482"/>
      <c r="D17" s="475"/>
      <c r="E17" s="475"/>
      <c r="F17" s="473"/>
      <c r="G17" s="473"/>
      <c r="H17" s="76"/>
      <c r="I17" s="475"/>
      <c r="J17" s="475"/>
      <c r="K17" s="478"/>
      <c r="L17" s="478"/>
      <c r="M17" s="179"/>
      <c r="N17" s="179"/>
      <c r="O17" s="179"/>
      <c r="P17" s="180"/>
    </row>
    <row r="18" spans="1:16" s="39" customFormat="1" ht="19.5" x14ac:dyDescent="0.2">
      <c r="A18" s="472">
        <v>4</v>
      </c>
      <c r="B18" s="472">
        <v>801047</v>
      </c>
      <c r="C18" s="483" t="s">
        <v>123</v>
      </c>
      <c r="D18" s="474">
        <v>4</v>
      </c>
      <c r="E18" s="474" t="s">
        <v>129</v>
      </c>
      <c r="F18" s="472">
        <v>45</v>
      </c>
      <c r="G18" s="472">
        <v>15</v>
      </c>
      <c r="H18" s="75"/>
      <c r="I18" s="474">
        <v>60</v>
      </c>
      <c r="J18" s="474">
        <v>1</v>
      </c>
      <c r="K18" s="474">
        <v>1</v>
      </c>
      <c r="L18" s="474">
        <v>70</v>
      </c>
      <c r="M18" s="177">
        <v>10904</v>
      </c>
      <c r="N18" s="177" t="s">
        <v>359</v>
      </c>
      <c r="O18" s="222" t="s">
        <v>190</v>
      </c>
      <c r="P18" s="178">
        <v>60</v>
      </c>
    </row>
    <row r="19" spans="1:16" s="39" customFormat="1" ht="19.5" x14ac:dyDescent="0.2">
      <c r="A19" s="473"/>
      <c r="B19" s="473"/>
      <c r="C19" s="484"/>
      <c r="D19" s="475"/>
      <c r="E19" s="475"/>
      <c r="F19" s="473"/>
      <c r="G19" s="473"/>
      <c r="H19" s="76"/>
      <c r="I19" s="475"/>
      <c r="J19" s="475"/>
      <c r="K19" s="478"/>
      <c r="L19" s="478"/>
      <c r="M19" s="181"/>
      <c r="N19" s="181"/>
      <c r="O19" s="181"/>
      <c r="P19" s="182"/>
    </row>
    <row r="20" spans="1:16" s="39" customFormat="1" ht="21" customHeight="1" x14ac:dyDescent="0.2">
      <c r="A20" s="472">
        <v>5</v>
      </c>
      <c r="B20" s="472">
        <v>801046</v>
      </c>
      <c r="C20" s="483" t="s">
        <v>124</v>
      </c>
      <c r="D20" s="474">
        <v>4</v>
      </c>
      <c r="E20" s="474" t="s">
        <v>129</v>
      </c>
      <c r="F20" s="472">
        <v>45</v>
      </c>
      <c r="G20" s="472">
        <v>15</v>
      </c>
      <c r="H20" s="75"/>
      <c r="I20" s="474">
        <v>60</v>
      </c>
      <c r="J20" s="474">
        <v>1</v>
      </c>
      <c r="K20" s="474">
        <v>1</v>
      </c>
      <c r="L20" s="474">
        <v>70</v>
      </c>
      <c r="M20" s="177"/>
      <c r="N20" s="177"/>
      <c r="O20" s="222" t="s">
        <v>194</v>
      </c>
      <c r="P20" s="178">
        <v>60</v>
      </c>
    </row>
    <row r="21" spans="1:16" s="39" customFormat="1" ht="19.5" x14ac:dyDescent="0.2">
      <c r="A21" s="480"/>
      <c r="B21" s="473"/>
      <c r="C21" s="484"/>
      <c r="D21" s="475"/>
      <c r="E21" s="475"/>
      <c r="F21" s="473"/>
      <c r="G21" s="473"/>
      <c r="H21" s="76"/>
      <c r="I21" s="475"/>
      <c r="J21" s="475"/>
      <c r="K21" s="478"/>
      <c r="L21" s="478"/>
      <c r="M21" s="179"/>
      <c r="N21" s="179"/>
      <c r="O21" s="179"/>
      <c r="P21" s="180"/>
    </row>
    <row r="22" spans="1:16" s="39" customFormat="1" ht="19.5" x14ac:dyDescent="0.2">
      <c r="A22" s="472">
        <v>6</v>
      </c>
      <c r="B22" s="472">
        <v>801306</v>
      </c>
      <c r="C22" s="481" t="s">
        <v>126</v>
      </c>
      <c r="D22" s="474">
        <v>2</v>
      </c>
      <c r="E22" s="474" t="s">
        <v>129</v>
      </c>
      <c r="F22" s="472">
        <v>15</v>
      </c>
      <c r="G22" s="472">
        <v>15</v>
      </c>
      <c r="H22" s="75"/>
      <c r="I22" s="474">
        <v>30</v>
      </c>
      <c r="J22" s="474">
        <v>1</v>
      </c>
      <c r="K22" s="474">
        <v>1</v>
      </c>
      <c r="L22" s="474">
        <v>70</v>
      </c>
      <c r="M22" s="172"/>
      <c r="N22" s="172"/>
      <c r="O22" s="183" t="s">
        <v>143</v>
      </c>
      <c r="P22" s="178">
        <v>30</v>
      </c>
    </row>
    <row r="23" spans="1:16" s="39" customFormat="1" ht="19.5" x14ac:dyDescent="0.2">
      <c r="A23" s="473"/>
      <c r="B23" s="473"/>
      <c r="C23" s="482"/>
      <c r="D23" s="475"/>
      <c r="E23" s="475"/>
      <c r="F23" s="473"/>
      <c r="G23" s="473"/>
      <c r="H23" s="76"/>
      <c r="I23" s="475"/>
      <c r="J23" s="475"/>
      <c r="K23" s="478"/>
      <c r="L23" s="478"/>
      <c r="M23" s="179"/>
      <c r="N23" s="179"/>
      <c r="O23" s="179"/>
      <c r="P23" s="180"/>
    </row>
    <row r="24" spans="1:16" s="39" customFormat="1" ht="19.5" x14ac:dyDescent="0.2">
      <c r="A24" s="472">
        <v>7</v>
      </c>
      <c r="B24" s="472">
        <v>801090</v>
      </c>
      <c r="C24" s="481" t="s">
        <v>127</v>
      </c>
      <c r="D24" s="474">
        <v>1</v>
      </c>
      <c r="E24" s="474" t="s">
        <v>129</v>
      </c>
      <c r="F24" s="472">
        <v>0</v>
      </c>
      <c r="G24" s="472">
        <v>30</v>
      </c>
      <c r="H24" s="75"/>
      <c r="I24" s="474">
        <v>30</v>
      </c>
      <c r="J24" s="474">
        <v>0.5</v>
      </c>
      <c r="K24" s="474">
        <v>1</v>
      </c>
      <c r="L24" s="474">
        <v>70</v>
      </c>
      <c r="M24" s="183">
        <v>10145</v>
      </c>
      <c r="N24" s="183" t="s">
        <v>346</v>
      </c>
      <c r="O24" s="183" t="s">
        <v>147</v>
      </c>
      <c r="P24" s="178">
        <v>15</v>
      </c>
    </row>
    <row r="25" spans="1:16" s="39" customFormat="1" ht="19.5" x14ac:dyDescent="0.2">
      <c r="A25" s="480"/>
      <c r="B25" s="473"/>
      <c r="C25" s="482"/>
      <c r="D25" s="475"/>
      <c r="E25" s="475"/>
      <c r="F25" s="473"/>
      <c r="G25" s="473"/>
      <c r="H25" s="76"/>
      <c r="I25" s="475"/>
      <c r="J25" s="475"/>
      <c r="K25" s="478"/>
      <c r="L25" s="478"/>
      <c r="M25" s="179"/>
      <c r="N25" s="179"/>
      <c r="O25" s="179"/>
      <c r="P25" s="180"/>
    </row>
    <row r="26" spans="1:16" s="39" customFormat="1" ht="19.5" x14ac:dyDescent="0.2">
      <c r="A26" s="472">
        <v>8</v>
      </c>
      <c r="B26" s="472">
        <v>801313</v>
      </c>
      <c r="C26" s="481" t="s">
        <v>128</v>
      </c>
      <c r="D26" s="474">
        <v>3</v>
      </c>
      <c r="E26" s="474" t="s">
        <v>129</v>
      </c>
      <c r="F26" s="472">
        <v>30</v>
      </c>
      <c r="G26" s="472">
        <v>15</v>
      </c>
      <c r="H26" s="75"/>
      <c r="I26" s="474">
        <v>45</v>
      </c>
      <c r="J26" s="474">
        <v>1</v>
      </c>
      <c r="K26" s="474">
        <v>1</v>
      </c>
      <c r="L26" s="474">
        <v>70</v>
      </c>
      <c r="M26" s="177">
        <v>10987</v>
      </c>
      <c r="N26" s="177" t="s">
        <v>359</v>
      </c>
      <c r="O26" s="177" t="s">
        <v>145</v>
      </c>
      <c r="P26" s="178">
        <v>45</v>
      </c>
    </row>
    <row r="27" spans="1:16" s="39" customFormat="1" ht="19.5" x14ac:dyDescent="0.2">
      <c r="A27" s="480"/>
      <c r="B27" s="473"/>
      <c r="C27" s="482"/>
      <c r="D27" s="475"/>
      <c r="E27" s="475"/>
      <c r="F27" s="473"/>
      <c r="G27" s="473"/>
      <c r="H27" s="76"/>
      <c r="I27" s="475"/>
      <c r="J27" s="475"/>
      <c r="K27" s="478"/>
      <c r="L27" s="478"/>
      <c r="M27" s="179"/>
      <c r="N27" s="179"/>
      <c r="O27" s="179"/>
      <c r="P27" s="180"/>
    </row>
    <row r="28" spans="1:16" s="39" customFormat="1" ht="19.5" x14ac:dyDescent="0.2">
      <c r="A28" s="472">
        <v>9</v>
      </c>
      <c r="B28" s="472">
        <v>801405</v>
      </c>
      <c r="C28" s="483" t="s">
        <v>271</v>
      </c>
      <c r="D28" s="474">
        <v>2</v>
      </c>
      <c r="E28" s="474" t="s">
        <v>134</v>
      </c>
      <c r="F28" s="472">
        <v>30</v>
      </c>
      <c r="G28" s="472">
        <v>0</v>
      </c>
      <c r="H28" s="75"/>
      <c r="I28" s="474">
        <v>30</v>
      </c>
      <c r="J28" s="474">
        <v>1</v>
      </c>
      <c r="K28" s="474">
        <v>1</v>
      </c>
      <c r="L28" s="474">
        <v>60</v>
      </c>
      <c r="M28" s="177">
        <v>11381</v>
      </c>
      <c r="N28" s="177" t="s">
        <v>361</v>
      </c>
      <c r="O28" s="177" t="s">
        <v>195</v>
      </c>
      <c r="P28" s="178">
        <v>30</v>
      </c>
    </row>
    <row r="29" spans="1:16" s="39" customFormat="1" ht="19.5" x14ac:dyDescent="0.2">
      <c r="A29" s="480"/>
      <c r="B29" s="473"/>
      <c r="C29" s="484"/>
      <c r="D29" s="475"/>
      <c r="E29" s="475"/>
      <c r="F29" s="473"/>
      <c r="G29" s="473"/>
      <c r="H29" s="76"/>
      <c r="I29" s="475"/>
      <c r="J29" s="475"/>
      <c r="K29" s="478"/>
      <c r="L29" s="478"/>
      <c r="M29" s="179"/>
      <c r="N29" s="179"/>
      <c r="O29" s="179"/>
      <c r="P29" s="180"/>
    </row>
    <row r="30" spans="1:16" s="39" customFormat="1" ht="19.5" x14ac:dyDescent="0.2">
      <c r="A30" s="472">
        <v>10</v>
      </c>
      <c r="B30" s="472">
        <v>801407</v>
      </c>
      <c r="C30" s="483" t="s">
        <v>272</v>
      </c>
      <c r="D30" s="474">
        <v>2</v>
      </c>
      <c r="E30" s="474" t="s">
        <v>134</v>
      </c>
      <c r="F30" s="472">
        <v>30</v>
      </c>
      <c r="G30" s="472">
        <v>0</v>
      </c>
      <c r="H30" s="75"/>
      <c r="I30" s="474">
        <v>30</v>
      </c>
      <c r="J30" s="474">
        <v>1</v>
      </c>
      <c r="K30" s="474">
        <v>1</v>
      </c>
      <c r="L30" s="474">
        <v>60</v>
      </c>
      <c r="M30" s="177">
        <v>11107</v>
      </c>
      <c r="N30" s="177" t="s">
        <v>359</v>
      </c>
      <c r="O30" s="177" t="s">
        <v>177</v>
      </c>
      <c r="P30" s="178">
        <v>30</v>
      </c>
    </row>
    <row r="31" spans="1:16" s="39" customFormat="1" ht="19.5" x14ac:dyDescent="0.2">
      <c r="A31" s="480"/>
      <c r="B31" s="473"/>
      <c r="C31" s="484"/>
      <c r="D31" s="475"/>
      <c r="E31" s="475"/>
      <c r="F31" s="473"/>
      <c r="G31" s="473"/>
      <c r="H31" s="76"/>
      <c r="I31" s="475"/>
      <c r="J31" s="475"/>
      <c r="K31" s="478"/>
      <c r="L31" s="478"/>
      <c r="M31" s="179"/>
      <c r="N31" s="179"/>
      <c r="O31" s="179"/>
      <c r="P31" s="180"/>
    </row>
    <row r="32" spans="1:16" s="39" customFormat="1" ht="19.5" x14ac:dyDescent="0.2">
      <c r="A32" s="472">
        <v>11</v>
      </c>
      <c r="B32" s="472">
        <v>801303</v>
      </c>
      <c r="C32" s="483" t="s">
        <v>131</v>
      </c>
      <c r="D32" s="474">
        <v>3</v>
      </c>
      <c r="E32" s="474" t="s">
        <v>134</v>
      </c>
      <c r="F32" s="472">
        <v>0</v>
      </c>
      <c r="G32" s="472">
        <v>45</v>
      </c>
      <c r="H32" s="75"/>
      <c r="I32" s="474">
        <v>45</v>
      </c>
      <c r="J32" s="474">
        <v>1</v>
      </c>
      <c r="K32" s="474">
        <v>1</v>
      </c>
      <c r="L32" s="474">
        <v>60</v>
      </c>
      <c r="M32" s="177">
        <v>10826</v>
      </c>
      <c r="N32" s="177" t="s">
        <v>361</v>
      </c>
      <c r="O32" s="246" t="s">
        <v>191</v>
      </c>
      <c r="P32" s="178">
        <v>30</v>
      </c>
    </row>
    <row r="33" spans="1:16" s="39" customFormat="1" ht="19.5" x14ac:dyDescent="0.2">
      <c r="A33" s="480"/>
      <c r="B33" s="473"/>
      <c r="C33" s="484"/>
      <c r="D33" s="479"/>
      <c r="E33" s="475"/>
      <c r="F33" s="485"/>
      <c r="G33" s="485"/>
      <c r="H33" s="77"/>
      <c r="I33" s="479"/>
      <c r="J33" s="479"/>
      <c r="K33" s="478"/>
      <c r="L33" s="478"/>
      <c r="M33" s="179">
        <v>10934</v>
      </c>
      <c r="N33" s="179" t="s">
        <v>346</v>
      </c>
      <c r="O33" s="247" t="s">
        <v>192</v>
      </c>
      <c r="P33" s="180">
        <v>15</v>
      </c>
    </row>
    <row r="34" spans="1:16" s="39" customFormat="1" ht="19.5" x14ac:dyDescent="0.2">
      <c r="A34" s="472">
        <v>12</v>
      </c>
      <c r="B34" s="472">
        <v>801411</v>
      </c>
      <c r="C34" s="481" t="s">
        <v>273</v>
      </c>
      <c r="D34" s="474">
        <v>1</v>
      </c>
      <c r="E34" s="474" t="s">
        <v>134</v>
      </c>
      <c r="F34" s="472">
        <v>0</v>
      </c>
      <c r="G34" s="472">
        <v>30</v>
      </c>
      <c r="H34" s="75"/>
      <c r="I34" s="474">
        <v>30</v>
      </c>
      <c r="J34" s="474">
        <v>0.5</v>
      </c>
      <c r="K34" s="474">
        <v>1</v>
      </c>
      <c r="L34" s="474">
        <v>60</v>
      </c>
      <c r="M34" s="177">
        <v>11202</v>
      </c>
      <c r="N34" s="177" t="s">
        <v>359</v>
      </c>
      <c r="O34" s="177" t="s">
        <v>148</v>
      </c>
      <c r="P34" s="178">
        <v>15</v>
      </c>
    </row>
    <row r="35" spans="1:16" s="39" customFormat="1" ht="19.5" x14ac:dyDescent="0.2">
      <c r="A35" s="473"/>
      <c r="B35" s="473"/>
      <c r="C35" s="482"/>
      <c r="D35" s="475"/>
      <c r="E35" s="475"/>
      <c r="F35" s="473"/>
      <c r="G35" s="473"/>
      <c r="H35" s="76"/>
      <c r="I35" s="475"/>
      <c r="J35" s="475"/>
      <c r="K35" s="478"/>
      <c r="L35" s="478"/>
      <c r="M35" s="181"/>
      <c r="N35" s="181"/>
      <c r="O35" s="181"/>
      <c r="P35" s="182"/>
    </row>
    <row r="36" spans="1:16" s="39" customFormat="1" ht="19.5" x14ac:dyDescent="0.2">
      <c r="A36" s="472">
        <v>13</v>
      </c>
      <c r="B36" s="472">
        <v>801415</v>
      </c>
      <c r="C36" s="481" t="s">
        <v>274</v>
      </c>
      <c r="D36" s="479">
        <v>3</v>
      </c>
      <c r="E36" s="474" t="s">
        <v>134</v>
      </c>
      <c r="F36" s="485">
        <v>45</v>
      </c>
      <c r="G36" s="485">
        <v>0</v>
      </c>
      <c r="H36" s="78"/>
      <c r="I36" s="479">
        <v>45</v>
      </c>
      <c r="J36" s="479">
        <v>1</v>
      </c>
      <c r="K36" s="474">
        <v>1</v>
      </c>
      <c r="L36" s="474">
        <v>60</v>
      </c>
      <c r="M36" s="177">
        <v>10987</v>
      </c>
      <c r="N36" s="177" t="s">
        <v>359</v>
      </c>
      <c r="O36" s="177" t="s">
        <v>145</v>
      </c>
      <c r="P36" s="178">
        <v>45</v>
      </c>
    </row>
    <row r="37" spans="1:16" s="39" customFormat="1" ht="19.5" x14ac:dyDescent="0.2">
      <c r="A37" s="480"/>
      <c r="B37" s="473"/>
      <c r="C37" s="482"/>
      <c r="D37" s="475"/>
      <c r="E37" s="475"/>
      <c r="F37" s="473"/>
      <c r="G37" s="473"/>
      <c r="H37" s="76"/>
      <c r="I37" s="475"/>
      <c r="J37" s="475"/>
      <c r="K37" s="478"/>
      <c r="L37" s="478"/>
      <c r="M37" s="179"/>
      <c r="N37" s="179"/>
      <c r="O37" s="179"/>
      <c r="P37" s="180"/>
    </row>
    <row r="38" spans="1:16" s="39" customFormat="1" ht="19.5" x14ac:dyDescent="0.2">
      <c r="A38" s="472">
        <v>14</v>
      </c>
      <c r="B38" s="472">
        <v>801401</v>
      </c>
      <c r="C38" s="476" t="s">
        <v>338</v>
      </c>
      <c r="D38" s="479">
        <v>5</v>
      </c>
      <c r="E38" s="474" t="s">
        <v>278</v>
      </c>
      <c r="F38" s="485">
        <v>60</v>
      </c>
      <c r="G38" s="485">
        <v>15</v>
      </c>
      <c r="H38" s="78"/>
      <c r="I38" s="479">
        <v>75</v>
      </c>
      <c r="J38" s="479">
        <v>1</v>
      </c>
      <c r="K38" s="474">
        <v>1</v>
      </c>
      <c r="L38" s="474">
        <v>70</v>
      </c>
      <c r="M38" s="177">
        <v>10874</v>
      </c>
      <c r="N38" s="177" t="s">
        <v>361</v>
      </c>
      <c r="O38" s="177" t="s">
        <v>179</v>
      </c>
      <c r="P38" s="178">
        <v>75</v>
      </c>
    </row>
    <row r="39" spans="1:16" s="39" customFormat="1" ht="19.5" x14ac:dyDescent="0.2">
      <c r="A39" s="473"/>
      <c r="B39" s="473"/>
      <c r="C39" s="477"/>
      <c r="D39" s="475"/>
      <c r="E39" s="475"/>
      <c r="F39" s="473"/>
      <c r="G39" s="473"/>
      <c r="H39" s="76"/>
      <c r="I39" s="475"/>
      <c r="J39" s="475"/>
      <c r="K39" s="478"/>
      <c r="L39" s="478"/>
      <c r="M39" s="77"/>
      <c r="N39" s="77"/>
      <c r="O39" s="77"/>
      <c r="P39" s="357"/>
    </row>
    <row r="40" spans="1:16" s="39" customFormat="1" ht="19.5" x14ac:dyDescent="0.2">
      <c r="A40" s="472">
        <v>15</v>
      </c>
      <c r="B40" s="472">
        <v>801402</v>
      </c>
      <c r="C40" s="483" t="s">
        <v>197</v>
      </c>
      <c r="D40" s="479">
        <v>6</v>
      </c>
      <c r="E40" s="474" t="s">
        <v>278</v>
      </c>
      <c r="F40" s="485">
        <v>60</v>
      </c>
      <c r="G40" s="474">
        <v>30</v>
      </c>
      <c r="H40" s="479"/>
      <c r="I40" s="479">
        <v>90</v>
      </c>
      <c r="J40" s="479">
        <v>1</v>
      </c>
      <c r="K40" s="474">
        <v>1</v>
      </c>
      <c r="L40" s="474">
        <v>70</v>
      </c>
      <c r="M40" s="359">
        <v>10934</v>
      </c>
      <c r="N40" s="359" t="s">
        <v>346</v>
      </c>
      <c r="O40" s="360" t="s">
        <v>192</v>
      </c>
      <c r="P40" s="361">
        <v>30</v>
      </c>
    </row>
    <row r="41" spans="1:16" s="39" customFormat="1" ht="19.5" x14ac:dyDescent="0.2">
      <c r="A41" s="480"/>
      <c r="B41" s="473"/>
      <c r="C41" s="484"/>
      <c r="D41" s="475"/>
      <c r="E41" s="475"/>
      <c r="F41" s="473"/>
      <c r="G41" s="475"/>
      <c r="H41" s="475"/>
      <c r="I41" s="475"/>
      <c r="J41" s="475"/>
      <c r="K41" s="478"/>
      <c r="L41" s="478"/>
      <c r="M41" s="353">
        <v>10826</v>
      </c>
      <c r="N41" s="353" t="s">
        <v>361</v>
      </c>
      <c r="O41" s="358" t="s">
        <v>191</v>
      </c>
      <c r="P41" s="352">
        <v>60</v>
      </c>
    </row>
    <row r="42" spans="1:16" s="39" customFormat="1" ht="19.5" x14ac:dyDescent="0.2">
      <c r="A42" s="472">
        <v>16</v>
      </c>
      <c r="B42" s="472">
        <v>801301</v>
      </c>
      <c r="C42" s="476" t="s">
        <v>133</v>
      </c>
      <c r="D42" s="474">
        <v>3</v>
      </c>
      <c r="E42" s="474" t="s">
        <v>278</v>
      </c>
      <c r="F42" s="472">
        <v>30</v>
      </c>
      <c r="G42" s="472">
        <v>15</v>
      </c>
      <c r="H42" s="75"/>
      <c r="I42" s="474">
        <v>45</v>
      </c>
      <c r="J42" s="474">
        <v>1</v>
      </c>
      <c r="K42" s="474">
        <v>1</v>
      </c>
      <c r="L42" s="474">
        <v>70</v>
      </c>
      <c r="M42" s="177">
        <v>11051</v>
      </c>
      <c r="N42" s="177" t="s">
        <v>359</v>
      </c>
      <c r="O42" s="177" t="s">
        <v>178</v>
      </c>
      <c r="P42" s="178">
        <v>45</v>
      </c>
    </row>
    <row r="43" spans="1:16" s="39" customFormat="1" ht="19.5" x14ac:dyDescent="0.2">
      <c r="A43" s="473"/>
      <c r="B43" s="473"/>
      <c r="C43" s="477"/>
      <c r="D43" s="475"/>
      <c r="E43" s="475"/>
      <c r="F43" s="473"/>
      <c r="G43" s="473"/>
      <c r="H43" s="76"/>
      <c r="I43" s="475"/>
      <c r="J43" s="475"/>
      <c r="K43" s="478"/>
      <c r="L43" s="478"/>
      <c r="M43" s="181"/>
      <c r="N43" s="181"/>
      <c r="O43" s="181"/>
      <c r="P43" s="182"/>
    </row>
    <row r="44" spans="1:16" s="39" customFormat="1" ht="19.5" x14ac:dyDescent="0.2">
      <c r="A44" s="472">
        <v>17</v>
      </c>
      <c r="B44" s="472">
        <v>801403</v>
      </c>
      <c r="C44" s="476" t="s">
        <v>182</v>
      </c>
      <c r="D44" s="474">
        <v>2</v>
      </c>
      <c r="E44" s="474" t="s">
        <v>278</v>
      </c>
      <c r="F44" s="472">
        <v>20</v>
      </c>
      <c r="G44" s="472">
        <v>10</v>
      </c>
      <c r="H44" s="75"/>
      <c r="I44" s="474">
        <v>30</v>
      </c>
      <c r="J44" s="474">
        <v>1</v>
      </c>
      <c r="K44" s="474">
        <v>1</v>
      </c>
      <c r="L44" s="474">
        <v>70</v>
      </c>
      <c r="M44" s="177">
        <v>11372</v>
      </c>
      <c r="N44" s="177" t="s">
        <v>363</v>
      </c>
      <c r="O44" s="176" t="s">
        <v>176</v>
      </c>
      <c r="P44" s="178">
        <v>30</v>
      </c>
    </row>
    <row r="45" spans="1:16" s="39" customFormat="1" ht="19.5" x14ac:dyDescent="0.2">
      <c r="A45" s="480"/>
      <c r="B45" s="473"/>
      <c r="C45" s="477"/>
      <c r="D45" s="475"/>
      <c r="E45" s="475"/>
      <c r="F45" s="473"/>
      <c r="G45" s="473"/>
      <c r="H45" s="76"/>
      <c r="I45" s="475"/>
      <c r="J45" s="475"/>
      <c r="K45" s="478"/>
      <c r="L45" s="478"/>
      <c r="M45" s="181"/>
      <c r="N45" s="181"/>
      <c r="O45" s="181"/>
      <c r="P45" s="182"/>
    </row>
    <row r="46" spans="1:16" s="39" customFormat="1" ht="19.5" x14ac:dyDescent="0.2">
      <c r="A46" s="69"/>
      <c r="B46" s="69"/>
      <c r="C46" s="94"/>
      <c r="D46" s="94"/>
      <c r="E46" s="94"/>
      <c r="F46" s="95"/>
      <c r="G46" s="95"/>
      <c r="H46" s="94"/>
      <c r="I46" s="94"/>
      <c r="J46" s="94"/>
      <c r="K46" s="70"/>
      <c r="L46" s="70"/>
      <c r="M46" s="70"/>
      <c r="N46" s="70"/>
      <c r="O46" s="70"/>
      <c r="P46" s="69"/>
    </row>
    <row r="47" spans="1:16" s="62" customFormat="1" ht="19.5" x14ac:dyDescent="0.2">
      <c r="A47" s="69"/>
      <c r="B47" s="69"/>
      <c r="C47" s="69"/>
      <c r="D47" s="70"/>
      <c r="E47" s="70"/>
      <c r="F47" s="69"/>
      <c r="G47" s="69"/>
      <c r="H47" s="70"/>
      <c r="I47" s="70"/>
      <c r="J47" s="70"/>
      <c r="K47" s="70"/>
      <c r="L47" s="70"/>
      <c r="M47" s="70"/>
      <c r="N47" s="70"/>
      <c r="O47" s="70"/>
      <c r="P47" s="69"/>
    </row>
    <row r="48" spans="1:16" ht="21.75" customHeight="1" x14ac:dyDescent="0.25">
      <c r="A48" s="487" t="s">
        <v>53</v>
      </c>
      <c r="B48" s="487"/>
      <c r="C48" s="487"/>
      <c r="D48" s="487"/>
      <c r="E48" s="487"/>
      <c r="F48" s="487"/>
      <c r="G48" s="487"/>
      <c r="H48" s="487"/>
      <c r="I48" s="487"/>
      <c r="J48" s="487"/>
      <c r="K48" s="487"/>
      <c r="L48" s="487"/>
      <c r="M48" s="40"/>
      <c r="N48" s="40"/>
      <c r="O48" s="40"/>
      <c r="P48" s="41"/>
    </row>
    <row r="49" spans="1:18" ht="19.5" x14ac:dyDescent="0.25">
      <c r="A49" s="486" t="s">
        <v>54</v>
      </c>
      <c r="B49" s="487"/>
      <c r="C49" s="40"/>
      <c r="D49" s="40"/>
      <c r="E49" s="40"/>
      <c r="F49" s="40"/>
      <c r="G49" s="40"/>
      <c r="H49" s="40"/>
      <c r="I49" s="40"/>
      <c r="J49" s="40"/>
      <c r="K49" s="40"/>
      <c r="L49" s="42"/>
      <c r="M49" s="42"/>
      <c r="N49" s="42"/>
      <c r="O49" s="42"/>
      <c r="P49" s="42"/>
    </row>
    <row r="50" spans="1:18" ht="21.75" customHeight="1" x14ac:dyDescent="0.3">
      <c r="A50" s="43"/>
      <c r="B50" s="114"/>
      <c r="C50" s="114"/>
      <c r="D50" s="43"/>
      <c r="E50" s="43"/>
      <c r="F50" s="43"/>
      <c r="G50" s="43"/>
      <c r="H50" s="43"/>
      <c r="I50" s="43"/>
      <c r="J50" s="43"/>
      <c r="K50" s="459" t="s">
        <v>94</v>
      </c>
      <c r="L50" s="459"/>
      <c r="M50" s="459"/>
      <c r="N50" s="459"/>
      <c r="O50" s="459"/>
      <c r="P50" s="42"/>
    </row>
    <row r="51" spans="1:18" ht="18.75" customHeight="1" x14ac:dyDescent="0.25">
      <c r="A51" s="43"/>
      <c r="B51" s="114"/>
      <c r="C51" s="233" t="s">
        <v>303</v>
      </c>
      <c r="D51" s="43"/>
      <c r="E51" s="43"/>
      <c r="F51" s="43"/>
      <c r="G51" s="43"/>
      <c r="H51" s="43"/>
      <c r="I51" s="43"/>
      <c r="J51" s="43"/>
      <c r="K51" s="42"/>
      <c r="L51" s="42"/>
      <c r="M51" s="42"/>
      <c r="N51" s="42"/>
      <c r="O51" s="42"/>
      <c r="P51" s="44"/>
    </row>
    <row r="52" spans="1:18" ht="18" customHeight="1" x14ac:dyDescent="0.25">
      <c r="A52" s="45"/>
      <c r="B52" s="115"/>
      <c r="C52" s="234" t="s">
        <v>142</v>
      </c>
      <c r="D52" s="45"/>
      <c r="E52" s="45"/>
      <c r="F52" s="45"/>
      <c r="G52" s="45"/>
      <c r="H52" s="45"/>
      <c r="I52" s="45"/>
      <c r="J52" s="45"/>
      <c r="K52" s="46"/>
      <c r="L52" s="46"/>
      <c r="M52" s="46"/>
      <c r="N52" s="46"/>
      <c r="O52" s="46"/>
      <c r="P52" s="45"/>
    </row>
    <row r="53" spans="1:18" ht="18" x14ac:dyDescent="0.25">
      <c r="A53" s="45"/>
      <c r="B53" s="115"/>
      <c r="C53" s="235" t="s">
        <v>304</v>
      </c>
      <c r="D53" s="45"/>
      <c r="E53" s="45"/>
      <c r="F53" s="45"/>
      <c r="G53" s="45"/>
      <c r="H53" s="45"/>
      <c r="I53" s="45"/>
      <c r="J53" s="45"/>
      <c r="K53" s="46"/>
      <c r="L53" s="46"/>
      <c r="M53" s="46"/>
      <c r="N53" s="46"/>
      <c r="O53" s="46"/>
      <c r="P53" s="45"/>
    </row>
    <row r="54" spans="1:18" ht="18" x14ac:dyDescent="0.25">
      <c r="A54" s="45"/>
      <c r="B54" s="115"/>
      <c r="C54" s="236" t="s">
        <v>305</v>
      </c>
      <c r="D54" s="45"/>
      <c r="E54" s="45"/>
      <c r="F54" s="45"/>
      <c r="G54" s="45"/>
      <c r="H54" s="45"/>
      <c r="I54" s="45"/>
      <c r="J54" s="45"/>
      <c r="K54" s="46"/>
      <c r="L54" s="46"/>
      <c r="M54" s="46"/>
      <c r="N54" s="46"/>
      <c r="O54" s="46"/>
      <c r="P54" s="45"/>
    </row>
    <row r="55" spans="1:18" ht="18" x14ac:dyDescent="0.25">
      <c r="A55" s="45"/>
      <c r="B55" s="45"/>
      <c r="C55" s="237" t="s">
        <v>306</v>
      </c>
      <c r="D55" s="45"/>
      <c r="E55" s="45"/>
      <c r="F55" s="45"/>
      <c r="G55" s="45"/>
      <c r="H55" s="45"/>
      <c r="I55" s="45"/>
      <c r="J55" s="45"/>
      <c r="K55" s="46"/>
      <c r="L55" s="46"/>
      <c r="M55" s="46"/>
      <c r="N55" s="46"/>
      <c r="O55" s="46"/>
      <c r="P55" s="47"/>
    </row>
    <row r="56" spans="1:18" ht="18" x14ac:dyDescent="0.25">
      <c r="A56" s="45"/>
      <c r="B56" s="45"/>
      <c r="C56" s="45"/>
      <c r="D56" s="45"/>
      <c r="E56" s="45"/>
      <c r="F56" s="45"/>
      <c r="G56" s="45"/>
      <c r="H56" s="45"/>
      <c r="I56" s="45"/>
      <c r="J56" s="45"/>
      <c r="K56" s="46"/>
      <c r="L56" s="46"/>
      <c r="M56" s="46"/>
      <c r="N56" s="46"/>
      <c r="O56" s="46"/>
      <c r="P56" s="46"/>
      <c r="R56" s="28" t="s">
        <v>55</v>
      </c>
    </row>
    <row r="57" spans="1:18" ht="18" x14ac:dyDescent="0.25">
      <c r="A57" s="45"/>
      <c r="B57" s="45"/>
      <c r="C57" s="45"/>
      <c r="D57" s="45"/>
      <c r="E57" s="45"/>
      <c r="F57" s="45"/>
      <c r="G57" s="45"/>
      <c r="H57" s="45"/>
      <c r="I57" s="45"/>
      <c r="J57" s="45"/>
      <c r="K57" s="46"/>
      <c r="L57" s="46"/>
      <c r="M57" s="46"/>
      <c r="N57" s="46"/>
      <c r="O57" s="46"/>
      <c r="P57" s="46"/>
    </row>
    <row r="58" spans="1:18" ht="18" x14ac:dyDescent="0.25">
      <c r="A58" s="45"/>
      <c r="B58" s="45"/>
      <c r="C58" s="45"/>
      <c r="D58" s="45"/>
      <c r="E58" s="45"/>
      <c r="F58" s="45"/>
      <c r="G58" s="45"/>
      <c r="H58" s="45"/>
      <c r="I58" s="45"/>
      <c r="J58" s="45"/>
      <c r="K58" s="46"/>
      <c r="L58" s="46"/>
      <c r="M58" s="46"/>
      <c r="N58" s="46"/>
      <c r="O58" s="46"/>
      <c r="P58" s="46"/>
    </row>
  </sheetData>
  <mergeCells count="213">
    <mergeCell ref="A1:C1"/>
    <mergeCell ref="G1:O1"/>
    <mergeCell ref="A2:C2"/>
    <mergeCell ref="G2:O2"/>
    <mergeCell ref="A3:C3"/>
    <mergeCell ref="G4:O4"/>
    <mergeCell ref="K10:K11"/>
    <mergeCell ref="L10:L11"/>
    <mergeCell ref="M10:M11"/>
    <mergeCell ref="N10:N11"/>
    <mergeCell ref="O10:O11"/>
    <mergeCell ref="J10:J11"/>
    <mergeCell ref="P10:P11"/>
    <mergeCell ref="A6:P6"/>
    <mergeCell ref="A7:P7"/>
    <mergeCell ref="A8:P8"/>
    <mergeCell ref="A10:A11"/>
    <mergeCell ref="B10:B11"/>
    <mergeCell ref="C10:C11"/>
    <mergeCell ref="D10:D11"/>
    <mergeCell ref="E10:E11"/>
    <mergeCell ref="F10:I10"/>
    <mergeCell ref="A14:A15"/>
    <mergeCell ref="B14:B15"/>
    <mergeCell ref="C14:C15"/>
    <mergeCell ref="D14:D15"/>
    <mergeCell ref="E14:E15"/>
    <mergeCell ref="A12:A13"/>
    <mergeCell ref="B12:B13"/>
    <mergeCell ref="C12:C13"/>
    <mergeCell ref="D12:D13"/>
    <mergeCell ref="E12:E13"/>
    <mergeCell ref="F14:F15"/>
    <mergeCell ref="G14:G15"/>
    <mergeCell ref="I14:I15"/>
    <mergeCell ref="J14:J15"/>
    <mergeCell ref="K14:K15"/>
    <mergeCell ref="L14:L15"/>
    <mergeCell ref="G12:G13"/>
    <mergeCell ref="I12:I13"/>
    <mergeCell ref="J12:J13"/>
    <mergeCell ref="K12:K13"/>
    <mergeCell ref="L12:L13"/>
    <mergeCell ref="F12:F13"/>
    <mergeCell ref="G16:G17"/>
    <mergeCell ref="I16:I17"/>
    <mergeCell ref="J16:J17"/>
    <mergeCell ref="K16:K17"/>
    <mergeCell ref="L16:L17"/>
    <mergeCell ref="A18:A19"/>
    <mergeCell ref="B18:B19"/>
    <mergeCell ref="C18:C19"/>
    <mergeCell ref="D18:D19"/>
    <mergeCell ref="E18:E19"/>
    <mergeCell ref="A16:A17"/>
    <mergeCell ref="B16:B17"/>
    <mergeCell ref="C16:C17"/>
    <mergeCell ref="D16:D17"/>
    <mergeCell ref="E16:E17"/>
    <mergeCell ref="F16:F17"/>
    <mergeCell ref="F18:F19"/>
    <mergeCell ref="G18:G19"/>
    <mergeCell ref="I18:I19"/>
    <mergeCell ref="J18:J19"/>
    <mergeCell ref="K50:O50"/>
    <mergeCell ref="A36:A37"/>
    <mergeCell ref="B36:B37"/>
    <mergeCell ref="C36:C37"/>
    <mergeCell ref="D36:D37"/>
    <mergeCell ref="E36:E37"/>
    <mergeCell ref="F36:F37"/>
    <mergeCell ref="G36:G37"/>
    <mergeCell ref="I36:I37"/>
    <mergeCell ref="A48:L48"/>
    <mergeCell ref="A40:A41"/>
    <mergeCell ref="B40:B41"/>
    <mergeCell ref="C40:C41"/>
    <mergeCell ref="D40:D41"/>
    <mergeCell ref="E40:E41"/>
    <mergeCell ref="F40:F41"/>
    <mergeCell ref="L36:L37"/>
    <mergeCell ref="A38:A39"/>
    <mergeCell ref="G40:G41"/>
    <mergeCell ref="H40:H41"/>
    <mergeCell ref="I40:I41"/>
    <mergeCell ref="J36:J37"/>
    <mergeCell ref="I44:I45"/>
    <mergeCell ref="A44:A45"/>
    <mergeCell ref="F20:F21"/>
    <mergeCell ref="K18:K19"/>
    <mergeCell ref="L18:L19"/>
    <mergeCell ref="A49:B49"/>
    <mergeCell ref="G20:G21"/>
    <mergeCell ref="I20:I21"/>
    <mergeCell ref="A24:A25"/>
    <mergeCell ref="B24:B25"/>
    <mergeCell ref="C24:C25"/>
    <mergeCell ref="D24:D25"/>
    <mergeCell ref="E24:E25"/>
    <mergeCell ref="B38:B39"/>
    <mergeCell ref="C38:C39"/>
    <mergeCell ref="D38:D39"/>
    <mergeCell ref="E38:E39"/>
    <mergeCell ref="F38:F39"/>
    <mergeCell ref="G38:G39"/>
    <mergeCell ref="I38:I39"/>
    <mergeCell ref="A20:A21"/>
    <mergeCell ref="B20:B21"/>
    <mergeCell ref="C20:C21"/>
    <mergeCell ref="D20:D21"/>
    <mergeCell ref="E20:E21"/>
    <mergeCell ref="A34:A35"/>
    <mergeCell ref="B34:B35"/>
    <mergeCell ref="C34:C35"/>
    <mergeCell ref="A32:A33"/>
    <mergeCell ref="B32:B33"/>
    <mergeCell ref="E34:E35"/>
    <mergeCell ref="C32:C33"/>
    <mergeCell ref="D32:D33"/>
    <mergeCell ref="E32:E33"/>
    <mergeCell ref="D34:D35"/>
    <mergeCell ref="J20:J21"/>
    <mergeCell ref="K20:K21"/>
    <mergeCell ref="L20:L21"/>
    <mergeCell ref="G22:G23"/>
    <mergeCell ref="I22:I23"/>
    <mergeCell ref="J22:J23"/>
    <mergeCell ref="K22:K23"/>
    <mergeCell ref="L30:L31"/>
    <mergeCell ref="F34:F35"/>
    <mergeCell ref="F32:F33"/>
    <mergeCell ref="G32:G33"/>
    <mergeCell ref="I32:I33"/>
    <mergeCell ref="J32:J33"/>
    <mergeCell ref="G34:G35"/>
    <mergeCell ref="I34:I35"/>
    <mergeCell ref="K28:K29"/>
    <mergeCell ref="L28:L29"/>
    <mergeCell ref="K32:K33"/>
    <mergeCell ref="L32:L33"/>
    <mergeCell ref="J30:J31"/>
    <mergeCell ref="L22:L23"/>
    <mergeCell ref="K24:K25"/>
    <mergeCell ref="L24:L25"/>
    <mergeCell ref="K26:K27"/>
    <mergeCell ref="F24:F25"/>
    <mergeCell ref="G24:G25"/>
    <mergeCell ref="I24:I25"/>
    <mergeCell ref="J24:J25"/>
    <mergeCell ref="A22:A23"/>
    <mergeCell ref="B22:B23"/>
    <mergeCell ref="C22:C23"/>
    <mergeCell ref="D22:D23"/>
    <mergeCell ref="E22:E23"/>
    <mergeCell ref="F22:F23"/>
    <mergeCell ref="F30:F31"/>
    <mergeCell ref="F28:F29"/>
    <mergeCell ref="G28:G29"/>
    <mergeCell ref="I28:I29"/>
    <mergeCell ref="A26:A27"/>
    <mergeCell ref="B26:B27"/>
    <mergeCell ref="C26:C27"/>
    <mergeCell ref="D26:D27"/>
    <mergeCell ref="E26:E27"/>
    <mergeCell ref="F26:F27"/>
    <mergeCell ref="G26:G27"/>
    <mergeCell ref="I26:I27"/>
    <mergeCell ref="G30:G31"/>
    <mergeCell ref="I30:I31"/>
    <mergeCell ref="A30:A31"/>
    <mergeCell ref="B30:B31"/>
    <mergeCell ref="C30:C31"/>
    <mergeCell ref="D30:D31"/>
    <mergeCell ref="E30:E31"/>
    <mergeCell ref="A28:A29"/>
    <mergeCell ref="B28:B29"/>
    <mergeCell ref="C28:C29"/>
    <mergeCell ref="D28:D29"/>
    <mergeCell ref="E28:E29"/>
    <mergeCell ref="L26:L27"/>
    <mergeCell ref="K34:K35"/>
    <mergeCell ref="K44:K45"/>
    <mergeCell ref="L42:L43"/>
    <mergeCell ref="J34:J35"/>
    <mergeCell ref="L34:L35"/>
    <mergeCell ref="K30:K31"/>
    <mergeCell ref="K38:K39"/>
    <mergeCell ref="K36:K37"/>
    <mergeCell ref="J40:J41"/>
    <mergeCell ref="K40:K41"/>
    <mergeCell ref="L40:L41"/>
    <mergeCell ref="J38:J39"/>
    <mergeCell ref="J26:J27"/>
    <mergeCell ref="L38:L39"/>
    <mergeCell ref="L44:L45"/>
    <mergeCell ref="J44:J45"/>
    <mergeCell ref="J42:J43"/>
    <mergeCell ref="J28:J29"/>
    <mergeCell ref="B44:B45"/>
    <mergeCell ref="D44:D45"/>
    <mergeCell ref="E44:E45"/>
    <mergeCell ref="C44:C45"/>
    <mergeCell ref="I42:I43"/>
    <mergeCell ref="A42:A43"/>
    <mergeCell ref="K42:K43"/>
    <mergeCell ref="F42:F43"/>
    <mergeCell ref="G42:G43"/>
    <mergeCell ref="B42:B43"/>
    <mergeCell ref="C42:C43"/>
    <mergeCell ref="D42:D43"/>
    <mergeCell ref="E42:E43"/>
    <mergeCell ref="F44:F45"/>
    <mergeCell ref="G44:G45"/>
  </mergeCells>
  <phoneticPr fontId="19" type="noConversion"/>
  <printOptions horizontalCentered="1"/>
  <pageMargins left="0.5" right="0" top="0.5" bottom="0.4" header="0.25" footer="0.15"/>
  <pageSetup paperSize="9" scale="70" orientation="landscape"/>
  <headerFooter alignWithMargins="0"/>
  <colBreaks count="1" manualBreakCount="1">
    <brk id="17" min="5" max="43" man="1"/>
  </colBreak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51"/>
  <sheetViews>
    <sheetView topLeftCell="A28" zoomScale="85" zoomScaleNormal="85" zoomScaleSheetLayoutView="85" workbookViewId="0">
      <selection activeCell="M37" sqref="M37"/>
    </sheetView>
  </sheetViews>
  <sheetFormatPr defaultColWidth="8" defaultRowHeight="19.5" x14ac:dyDescent="0.3"/>
  <cols>
    <col min="1" max="1" width="5.625" style="125" customWidth="1"/>
    <col min="2" max="2" width="11" style="125" customWidth="1"/>
    <col min="3" max="3" width="47.375" style="125" customWidth="1"/>
    <col min="4" max="4" width="6.375" style="125" customWidth="1"/>
    <col min="5" max="5" width="7.125" style="125" customWidth="1"/>
    <col min="6" max="7" width="6.375" style="125" customWidth="1"/>
    <col min="8" max="8" width="8.375" style="125" hidden="1" customWidth="1"/>
    <col min="9" max="9" width="6.125" style="125" customWidth="1"/>
    <col min="10" max="10" width="8.875" style="125" customWidth="1"/>
    <col min="11" max="11" width="8.875" style="124" customWidth="1"/>
    <col min="12" max="12" width="9.125" style="124" customWidth="1"/>
    <col min="13" max="13" width="11.375" style="124" customWidth="1"/>
    <col min="14" max="14" width="10.375" style="124" customWidth="1"/>
    <col min="15" max="15" width="25.625" style="124" customWidth="1"/>
    <col min="16" max="16" width="12.375" style="124" customWidth="1"/>
    <col min="17" max="17" width="1.375" style="124" customWidth="1"/>
    <col min="18" max="16384" width="8" style="124"/>
  </cols>
  <sheetData>
    <row r="1" spans="1:31" x14ac:dyDescent="0.3">
      <c r="A1" s="505" t="s">
        <v>107</v>
      </c>
      <c r="B1" s="505"/>
      <c r="C1" s="505"/>
      <c r="G1" s="459" t="s">
        <v>42</v>
      </c>
      <c r="H1" s="459"/>
      <c r="I1" s="459"/>
      <c r="J1" s="459"/>
      <c r="K1" s="459"/>
      <c r="L1" s="459"/>
      <c r="M1" s="459"/>
      <c r="N1" s="459"/>
      <c r="O1" s="459"/>
      <c r="P1" s="116"/>
      <c r="Q1" s="116"/>
      <c r="R1" s="116"/>
      <c r="S1" s="116"/>
      <c r="T1" s="116"/>
    </row>
    <row r="2" spans="1:31" x14ac:dyDescent="0.3">
      <c r="A2" s="505" t="s">
        <v>108</v>
      </c>
      <c r="B2" s="505"/>
      <c r="C2" s="505"/>
      <c r="G2" s="459" t="s">
        <v>43</v>
      </c>
      <c r="H2" s="459"/>
      <c r="I2" s="459"/>
      <c r="J2" s="459"/>
      <c r="K2" s="459"/>
      <c r="L2" s="459"/>
      <c r="M2" s="459"/>
      <c r="N2" s="459"/>
      <c r="O2" s="459"/>
      <c r="P2" s="116"/>
      <c r="Q2" s="116"/>
      <c r="R2" s="116"/>
      <c r="S2" s="116"/>
      <c r="T2" s="116"/>
    </row>
    <row r="3" spans="1:31" x14ac:dyDescent="0.3">
      <c r="A3" s="459" t="s">
        <v>0</v>
      </c>
      <c r="B3" s="459"/>
      <c r="C3" s="459"/>
      <c r="D3" s="116"/>
      <c r="E3" s="116"/>
      <c r="M3" s="127"/>
      <c r="N3" s="127"/>
      <c r="O3" s="127"/>
      <c r="P3" s="127"/>
      <c r="Q3" s="127"/>
      <c r="R3" s="127"/>
      <c r="S3" s="127"/>
      <c r="T3" s="127"/>
    </row>
    <row r="4" spans="1:31" x14ac:dyDescent="0.3">
      <c r="B4" s="126"/>
      <c r="D4" s="116"/>
      <c r="E4" s="116"/>
      <c r="G4" s="506" t="s">
        <v>266</v>
      </c>
      <c r="H4" s="506"/>
      <c r="I4" s="506"/>
      <c r="J4" s="506"/>
      <c r="K4" s="506"/>
      <c r="L4" s="506"/>
      <c r="M4" s="506"/>
      <c r="N4" s="506"/>
      <c r="O4" s="506"/>
      <c r="P4" s="128"/>
      <c r="Q4" s="127"/>
      <c r="R4" s="127"/>
      <c r="S4" s="127"/>
      <c r="T4" s="127"/>
    </row>
    <row r="5" spans="1:31" x14ac:dyDescent="0.3">
      <c r="B5" s="126"/>
      <c r="D5" s="116"/>
      <c r="E5" s="116"/>
      <c r="F5" s="129"/>
      <c r="G5" s="129"/>
      <c r="H5" s="129"/>
      <c r="I5" s="129"/>
      <c r="J5" s="129"/>
      <c r="K5" s="129"/>
      <c r="L5" s="129"/>
      <c r="M5" s="129"/>
      <c r="N5" s="129"/>
      <c r="O5" s="129"/>
      <c r="P5" s="129"/>
      <c r="Q5" s="127"/>
      <c r="R5" s="127"/>
      <c r="S5" s="127"/>
      <c r="T5" s="127"/>
    </row>
    <row r="6" spans="1:31" x14ac:dyDescent="0.3">
      <c r="A6" s="503" t="s">
        <v>44</v>
      </c>
      <c r="B6" s="503"/>
      <c r="C6" s="503"/>
      <c r="D6" s="503"/>
      <c r="E6" s="503"/>
      <c r="F6" s="503"/>
      <c r="G6" s="503"/>
      <c r="H6" s="503"/>
      <c r="I6" s="503"/>
      <c r="J6" s="503"/>
      <c r="K6" s="503"/>
      <c r="L6" s="503"/>
      <c r="M6" s="503"/>
      <c r="N6" s="503"/>
      <c r="O6" s="503"/>
      <c r="P6" s="503"/>
      <c r="Q6" s="130"/>
      <c r="R6" s="130"/>
      <c r="S6" s="130"/>
      <c r="T6" s="130"/>
      <c r="U6" s="130"/>
      <c r="V6" s="130"/>
      <c r="W6" s="130"/>
      <c r="X6" s="130"/>
      <c r="Y6" s="130"/>
      <c r="Z6" s="130"/>
      <c r="AA6" s="130"/>
      <c r="AB6" s="130"/>
      <c r="AC6" s="130"/>
      <c r="AD6" s="130"/>
      <c r="AE6" s="130"/>
    </row>
    <row r="7" spans="1:31" x14ac:dyDescent="0.3">
      <c r="A7" s="504" t="s">
        <v>268</v>
      </c>
      <c r="B7" s="504"/>
      <c r="C7" s="504"/>
      <c r="D7" s="504"/>
      <c r="E7" s="504"/>
      <c r="F7" s="504"/>
      <c r="G7" s="504"/>
      <c r="H7" s="504"/>
      <c r="I7" s="504"/>
      <c r="J7" s="504"/>
      <c r="K7" s="504"/>
      <c r="L7" s="504"/>
      <c r="M7" s="504"/>
      <c r="N7" s="504"/>
      <c r="O7" s="504"/>
      <c r="P7" s="504"/>
      <c r="Q7" s="130"/>
      <c r="R7" s="130"/>
      <c r="S7" s="130"/>
      <c r="T7" s="130"/>
      <c r="U7" s="130"/>
      <c r="V7" s="130"/>
      <c r="W7" s="130"/>
      <c r="X7" s="130"/>
      <c r="Y7" s="130"/>
      <c r="Z7" s="130"/>
      <c r="AA7" s="130"/>
      <c r="AB7" s="130"/>
      <c r="AC7" s="130"/>
      <c r="AD7" s="130"/>
      <c r="AE7" s="130"/>
    </row>
    <row r="8" spans="1:31" ht="24" customHeight="1" x14ac:dyDescent="0.3">
      <c r="A8" s="504" t="s">
        <v>245</v>
      </c>
      <c r="B8" s="504"/>
      <c r="C8" s="504"/>
      <c r="D8" s="504"/>
      <c r="E8" s="504"/>
      <c r="F8" s="504"/>
      <c r="G8" s="504"/>
      <c r="H8" s="504"/>
      <c r="I8" s="504"/>
      <c r="J8" s="504"/>
      <c r="K8" s="504"/>
      <c r="L8" s="504"/>
      <c r="M8" s="504"/>
      <c r="N8" s="504"/>
      <c r="O8" s="504"/>
      <c r="P8" s="504"/>
      <c r="Q8" s="130"/>
      <c r="R8" s="130"/>
      <c r="S8" s="130"/>
      <c r="T8" s="130"/>
      <c r="U8" s="130"/>
      <c r="V8" s="130"/>
      <c r="W8" s="130"/>
      <c r="X8" s="130"/>
      <c r="Y8" s="130"/>
      <c r="Z8" s="130"/>
      <c r="AA8" s="130"/>
      <c r="AB8" s="130"/>
      <c r="AC8" s="130"/>
      <c r="AD8" s="130"/>
      <c r="AE8" s="130"/>
    </row>
    <row r="9" spans="1:31" x14ac:dyDescent="0.3">
      <c r="A9" s="121"/>
      <c r="B9" s="121"/>
      <c r="C9" s="121"/>
      <c r="D9" s="121"/>
      <c r="E9" s="121"/>
      <c r="F9" s="131"/>
      <c r="G9" s="131"/>
      <c r="H9" s="131"/>
      <c r="I9" s="131"/>
      <c r="J9" s="131"/>
      <c r="K9" s="132"/>
      <c r="L9" s="132"/>
      <c r="M9" s="132"/>
      <c r="N9" s="132"/>
      <c r="O9" s="132"/>
      <c r="P9" s="131"/>
      <c r="Q9" s="130"/>
      <c r="R9" s="130"/>
      <c r="S9" s="130"/>
      <c r="T9" s="130"/>
      <c r="U9" s="130"/>
      <c r="V9" s="130"/>
      <c r="W9" s="130"/>
      <c r="X9" s="130"/>
      <c r="Y9" s="130"/>
      <c r="Z9" s="130"/>
      <c r="AA9" s="130"/>
      <c r="AB9" s="130"/>
      <c r="AC9" s="130"/>
      <c r="AD9" s="130"/>
      <c r="AE9" s="130"/>
    </row>
    <row r="10" spans="1:31" ht="27.75" customHeight="1" x14ac:dyDescent="0.3">
      <c r="A10" s="492" t="s">
        <v>2</v>
      </c>
      <c r="B10" s="492" t="s">
        <v>13</v>
      </c>
      <c r="C10" s="492" t="s">
        <v>7</v>
      </c>
      <c r="D10" s="488" t="s">
        <v>45</v>
      </c>
      <c r="E10" s="488" t="s">
        <v>56</v>
      </c>
      <c r="F10" s="494" t="s">
        <v>46</v>
      </c>
      <c r="G10" s="495"/>
      <c r="H10" s="495"/>
      <c r="I10" s="496"/>
      <c r="J10" s="488" t="s">
        <v>65</v>
      </c>
      <c r="K10" s="488" t="s">
        <v>47</v>
      </c>
      <c r="L10" s="488" t="s">
        <v>48</v>
      </c>
      <c r="M10" s="488" t="s">
        <v>49</v>
      </c>
      <c r="N10" s="488" t="s">
        <v>5</v>
      </c>
      <c r="O10" s="488" t="s">
        <v>50</v>
      </c>
      <c r="P10" s="488" t="s">
        <v>64</v>
      </c>
    </row>
    <row r="11" spans="1:31" ht="39.75" customHeight="1" x14ac:dyDescent="0.3">
      <c r="A11" s="489"/>
      <c r="B11" s="489"/>
      <c r="C11" s="489"/>
      <c r="D11" s="493"/>
      <c r="E11" s="493"/>
      <c r="F11" s="56" t="s">
        <v>51</v>
      </c>
      <c r="G11" s="56" t="s">
        <v>52</v>
      </c>
      <c r="H11" s="57"/>
      <c r="I11" s="58" t="s">
        <v>11</v>
      </c>
      <c r="J11" s="489"/>
      <c r="K11" s="493"/>
      <c r="L11" s="493"/>
      <c r="M11" s="493"/>
      <c r="N11" s="493"/>
      <c r="O11" s="493"/>
      <c r="P11" s="489"/>
    </row>
    <row r="12" spans="1:31" s="133" customFormat="1" x14ac:dyDescent="0.3">
      <c r="A12" s="472">
        <v>1</v>
      </c>
      <c r="B12" s="472">
        <v>863014</v>
      </c>
      <c r="C12" s="481" t="s">
        <v>269</v>
      </c>
      <c r="D12" s="474">
        <v>6</v>
      </c>
      <c r="E12" s="474" t="s">
        <v>125</v>
      </c>
      <c r="F12" s="472"/>
      <c r="G12" s="472"/>
      <c r="H12" s="75"/>
      <c r="I12" s="474"/>
      <c r="J12" s="474">
        <v>1</v>
      </c>
      <c r="K12" s="474">
        <v>1</v>
      </c>
      <c r="L12" s="474">
        <v>60</v>
      </c>
      <c r="M12" s="177"/>
      <c r="N12" s="177"/>
      <c r="O12" s="177"/>
      <c r="P12" s="178"/>
    </row>
    <row r="13" spans="1:31" s="133" customFormat="1" x14ac:dyDescent="0.3">
      <c r="A13" s="480"/>
      <c r="B13" s="473"/>
      <c r="C13" s="482"/>
      <c r="D13" s="475"/>
      <c r="E13" s="475"/>
      <c r="F13" s="473"/>
      <c r="G13" s="473"/>
      <c r="H13" s="76"/>
      <c r="I13" s="475"/>
      <c r="J13" s="475"/>
      <c r="K13" s="478"/>
      <c r="L13" s="478"/>
      <c r="M13" s="179"/>
      <c r="N13" s="179"/>
      <c r="O13" s="179"/>
      <c r="P13" s="180"/>
    </row>
    <row r="14" spans="1:31" s="133" customFormat="1" x14ac:dyDescent="0.3">
      <c r="A14" s="472">
        <v>2</v>
      </c>
      <c r="B14" s="472">
        <v>848010</v>
      </c>
      <c r="C14" s="483" t="s">
        <v>135</v>
      </c>
      <c r="D14" s="474">
        <v>4</v>
      </c>
      <c r="E14" s="474" t="s">
        <v>125</v>
      </c>
      <c r="F14" s="472">
        <v>45</v>
      </c>
      <c r="G14" s="472">
        <v>15</v>
      </c>
      <c r="H14" s="78"/>
      <c r="I14" s="479">
        <v>60</v>
      </c>
      <c r="J14" s="474">
        <v>1</v>
      </c>
      <c r="K14" s="474">
        <v>1</v>
      </c>
      <c r="L14" s="474">
        <v>60</v>
      </c>
      <c r="M14" s="177">
        <v>10904</v>
      </c>
      <c r="N14" s="177" t="s">
        <v>359</v>
      </c>
      <c r="O14" s="246" t="s">
        <v>190</v>
      </c>
      <c r="P14" s="178">
        <v>60</v>
      </c>
    </row>
    <row r="15" spans="1:31" s="133" customFormat="1" x14ac:dyDescent="0.3">
      <c r="A15" s="480"/>
      <c r="B15" s="473"/>
      <c r="C15" s="484"/>
      <c r="D15" s="475"/>
      <c r="E15" s="475"/>
      <c r="F15" s="473"/>
      <c r="G15" s="473"/>
      <c r="H15" s="76"/>
      <c r="I15" s="475"/>
      <c r="J15" s="475"/>
      <c r="K15" s="478"/>
      <c r="L15" s="478"/>
      <c r="M15" s="179"/>
      <c r="N15" s="179"/>
      <c r="O15" s="179"/>
      <c r="P15" s="180"/>
    </row>
    <row r="16" spans="1:31" s="133" customFormat="1" x14ac:dyDescent="0.3">
      <c r="A16" s="472">
        <v>3</v>
      </c>
      <c r="B16" s="472">
        <v>801046</v>
      </c>
      <c r="C16" s="481" t="s">
        <v>136</v>
      </c>
      <c r="D16" s="474">
        <v>2</v>
      </c>
      <c r="E16" s="474" t="s">
        <v>125</v>
      </c>
      <c r="F16" s="472">
        <v>30</v>
      </c>
      <c r="G16" s="472">
        <v>0</v>
      </c>
      <c r="H16" s="75"/>
      <c r="I16" s="474">
        <v>30</v>
      </c>
      <c r="J16" s="474">
        <v>1</v>
      </c>
      <c r="K16" s="474">
        <v>1</v>
      </c>
      <c r="L16" s="474">
        <v>60</v>
      </c>
      <c r="M16" s="177">
        <v>10987</v>
      </c>
      <c r="N16" s="177" t="s">
        <v>359</v>
      </c>
      <c r="O16" s="177" t="s">
        <v>145</v>
      </c>
      <c r="P16" s="178">
        <v>30</v>
      </c>
    </row>
    <row r="17" spans="1:16" s="133" customFormat="1" x14ac:dyDescent="0.3">
      <c r="A17" s="480"/>
      <c r="B17" s="473"/>
      <c r="C17" s="482"/>
      <c r="D17" s="475"/>
      <c r="E17" s="475"/>
      <c r="F17" s="473"/>
      <c r="G17" s="473"/>
      <c r="H17" s="76"/>
      <c r="I17" s="475"/>
      <c r="J17" s="475"/>
      <c r="K17" s="478"/>
      <c r="L17" s="478"/>
      <c r="M17" s="179"/>
      <c r="N17" s="179"/>
      <c r="O17" s="179"/>
      <c r="P17" s="180"/>
    </row>
    <row r="18" spans="1:16" s="133" customFormat="1" x14ac:dyDescent="0.3">
      <c r="A18" s="472">
        <v>4</v>
      </c>
      <c r="B18" s="472">
        <v>848304</v>
      </c>
      <c r="C18" s="483" t="s">
        <v>137</v>
      </c>
      <c r="D18" s="474">
        <v>3</v>
      </c>
      <c r="E18" s="474" t="s">
        <v>125</v>
      </c>
      <c r="F18" s="472">
        <v>30</v>
      </c>
      <c r="G18" s="472">
        <v>15</v>
      </c>
      <c r="H18" s="75"/>
      <c r="I18" s="474">
        <v>45</v>
      </c>
      <c r="J18" s="474">
        <v>1</v>
      </c>
      <c r="K18" s="474">
        <v>1</v>
      </c>
      <c r="L18" s="474">
        <v>60</v>
      </c>
      <c r="M18" s="177">
        <v>11381</v>
      </c>
      <c r="N18" s="177" t="s">
        <v>361</v>
      </c>
      <c r="O18" s="246" t="s">
        <v>195</v>
      </c>
      <c r="P18" s="178">
        <v>45</v>
      </c>
    </row>
    <row r="19" spans="1:16" s="133" customFormat="1" x14ac:dyDescent="0.3">
      <c r="A19" s="473"/>
      <c r="B19" s="473"/>
      <c r="C19" s="484"/>
      <c r="D19" s="475"/>
      <c r="E19" s="475"/>
      <c r="F19" s="473"/>
      <c r="G19" s="473"/>
      <c r="H19" s="76"/>
      <c r="I19" s="475"/>
      <c r="J19" s="475"/>
      <c r="K19" s="478"/>
      <c r="L19" s="478"/>
      <c r="M19" s="181"/>
      <c r="N19" s="181"/>
      <c r="O19" s="181"/>
      <c r="P19" s="182"/>
    </row>
    <row r="20" spans="1:16" s="133" customFormat="1" x14ac:dyDescent="0.3">
      <c r="A20" s="472">
        <v>5</v>
      </c>
      <c r="B20" s="485">
        <v>801066</v>
      </c>
      <c r="C20" s="501" t="s">
        <v>138</v>
      </c>
      <c r="D20" s="479">
        <v>3</v>
      </c>
      <c r="E20" s="479" t="s">
        <v>129</v>
      </c>
      <c r="F20" s="485">
        <v>30</v>
      </c>
      <c r="G20" s="485">
        <v>15</v>
      </c>
      <c r="H20" s="78"/>
      <c r="I20" s="479">
        <v>45</v>
      </c>
      <c r="J20" s="474">
        <v>1</v>
      </c>
      <c r="K20" s="474">
        <v>1</v>
      </c>
      <c r="L20" s="474">
        <v>70</v>
      </c>
      <c r="M20" s="177">
        <v>11372</v>
      </c>
      <c r="N20" s="177" t="s">
        <v>363</v>
      </c>
      <c r="O20" s="177" t="s">
        <v>176</v>
      </c>
      <c r="P20" s="178">
        <v>45</v>
      </c>
    </row>
    <row r="21" spans="1:16" s="133" customFormat="1" x14ac:dyDescent="0.3">
      <c r="A21" s="480"/>
      <c r="B21" s="480"/>
      <c r="C21" s="502"/>
      <c r="D21" s="475"/>
      <c r="E21" s="475"/>
      <c r="F21" s="473"/>
      <c r="G21" s="473"/>
      <c r="H21" s="76"/>
      <c r="I21" s="475"/>
      <c r="J21" s="475"/>
      <c r="K21" s="478"/>
      <c r="L21" s="478"/>
      <c r="M21" s="179"/>
      <c r="N21" s="179"/>
      <c r="O21" s="179"/>
      <c r="P21" s="180"/>
    </row>
    <row r="22" spans="1:16" s="133" customFormat="1" x14ac:dyDescent="0.3">
      <c r="A22" s="472">
        <v>6</v>
      </c>
      <c r="B22" s="472">
        <v>863115</v>
      </c>
      <c r="C22" s="481" t="s">
        <v>270</v>
      </c>
      <c r="D22" s="474">
        <v>3</v>
      </c>
      <c r="E22" s="479" t="s">
        <v>129</v>
      </c>
      <c r="F22" s="472"/>
      <c r="G22" s="472"/>
      <c r="H22" s="75"/>
      <c r="I22" s="474"/>
      <c r="J22" s="474">
        <v>1</v>
      </c>
      <c r="K22" s="474">
        <v>1</v>
      </c>
      <c r="L22" s="474">
        <v>70</v>
      </c>
      <c r="M22" s="177"/>
      <c r="N22" s="177"/>
      <c r="O22" s="177"/>
      <c r="P22" s="178"/>
    </row>
    <row r="23" spans="1:16" s="133" customFormat="1" x14ac:dyDescent="0.3">
      <c r="A23" s="473"/>
      <c r="B23" s="473"/>
      <c r="C23" s="482"/>
      <c r="D23" s="475"/>
      <c r="E23" s="475"/>
      <c r="F23" s="473"/>
      <c r="G23" s="473"/>
      <c r="H23" s="76"/>
      <c r="I23" s="475"/>
      <c r="J23" s="475"/>
      <c r="K23" s="478"/>
      <c r="L23" s="478"/>
      <c r="M23" s="179"/>
      <c r="N23" s="179"/>
      <c r="O23" s="179"/>
      <c r="P23" s="180"/>
    </row>
    <row r="24" spans="1:16" s="133" customFormat="1" x14ac:dyDescent="0.3">
      <c r="A24" s="472">
        <v>7</v>
      </c>
      <c r="B24" s="472">
        <v>801314</v>
      </c>
      <c r="C24" s="481" t="s">
        <v>139</v>
      </c>
      <c r="D24" s="474">
        <v>3</v>
      </c>
      <c r="E24" s="479" t="s">
        <v>129</v>
      </c>
      <c r="F24" s="472">
        <v>30</v>
      </c>
      <c r="G24" s="472">
        <v>15</v>
      </c>
      <c r="H24" s="75"/>
      <c r="I24" s="474">
        <v>45</v>
      </c>
      <c r="J24" s="474">
        <v>1</v>
      </c>
      <c r="K24" s="474">
        <v>1</v>
      </c>
      <c r="L24" s="474">
        <v>70</v>
      </c>
      <c r="M24" s="183"/>
      <c r="N24" s="183"/>
      <c r="O24" s="289" t="s">
        <v>149</v>
      </c>
      <c r="P24" s="288">
        <v>45</v>
      </c>
    </row>
    <row r="25" spans="1:16" s="133" customFormat="1" x14ac:dyDescent="0.3">
      <c r="A25" s="480"/>
      <c r="B25" s="480"/>
      <c r="C25" s="500"/>
      <c r="D25" s="475"/>
      <c r="E25" s="475"/>
      <c r="F25" s="473"/>
      <c r="G25" s="473"/>
      <c r="H25" s="76"/>
      <c r="I25" s="475"/>
      <c r="J25" s="475"/>
      <c r="K25" s="478"/>
      <c r="L25" s="478"/>
      <c r="M25" s="179"/>
      <c r="N25" s="179"/>
      <c r="O25" s="179"/>
      <c r="P25" s="180"/>
    </row>
    <row r="26" spans="1:16" s="133" customFormat="1" x14ac:dyDescent="0.3">
      <c r="A26" s="472">
        <v>8</v>
      </c>
      <c r="B26" s="485">
        <v>801408</v>
      </c>
      <c r="C26" s="498" t="s">
        <v>275</v>
      </c>
      <c r="D26" s="479">
        <v>5</v>
      </c>
      <c r="E26" s="479" t="s">
        <v>134</v>
      </c>
      <c r="F26" s="485">
        <v>45</v>
      </c>
      <c r="G26" s="485">
        <v>30</v>
      </c>
      <c r="H26" s="78"/>
      <c r="I26" s="479">
        <v>75</v>
      </c>
      <c r="J26" s="474">
        <v>1</v>
      </c>
      <c r="K26" s="474">
        <v>1</v>
      </c>
      <c r="L26" s="474">
        <v>60</v>
      </c>
      <c r="M26" s="177">
        <v>10933</v>
      </c>
      <c r="N26" s="177" t="s">
        <v>359</v>
      </c>
      <c r="O26" s="177" t="s">
        <v>193</v>
      </c>
      <c r="P26" s="178">
        <v>75</v>
      </c>
    </row>
    <row r="27" spans="1:16" s="133" customFormat="1" x14ac:dyDescent="0.3">
      <c r="A27" s="473"/>
      <c r="B27" s="480"/>
      <c r="C27" s="499"/>
      <c r="D27" s="475"/>
      <c r="E27" s="475"/>
      <c r="F27" s="473"/>
      <c r="G27" s="473"/>
      <c r="H27" s="76"/>
      <c r="I27" s="475"/>
      <c r="J27" s="475"/>
      <c r="K27" s="478"/>
      <c r="L27" s="478"/>
      <c r="M27" s="181"/>
      <c r="N27" s="181"/>
      <c r="O27" s="181"/>
      <c r="P27" s="182"/>
    </row>
    <row r="28" spans="1:16" s="133" customFormat="1" x14ac:dyDescent="0.3">
      <c r="A28" s="472">
        <v>9</v>
      </c>
      <c r="B28" s="472">
        <v>801046</v>
      </c>
      <c r="C28" s="483" t="s">
        <v>124</v>
      </c>
      <c r="D28" s="474">
        <v>4</v>
      </c>
      <c r="E28" s="479" t="s">
        <v>134</v>
      </c>
      <c r="F28" s="472">
        <v>45</v>
      </c>
      <c r="G28" s="472">
        <v>15</v>
      </c>
      <c r="H28" s="75"/>
      <c r="I28" s="474">
        <v>60</v>
      </c>
      <c r="J28" s="474">
        <v>1</v>
      </c>
      <c r="K28" s="474">
        <v>1</v>
      </c>
      <c r="L28" s="474">
        <v>60</v>
      </c>
      <c r="M28" s="177"/>
      <c r="N28" s="177"/>
      <c r="O28" s="222" t="s">
        <v>194</v>
      </c>
      <c r="P28" s="178">
        <v>60</v>
      </c>
    </row>
    <row r="29" spans="1:16" s="133" customFormat="1" x14ac:dyDescent="0.3">
      <c r="A29" s="480"/>
      <c r="B29" s="473"/>
      <c r="C29" s="484"/>
      <c r="D29" s="475"/>
      <c r="E29" s="475"/>
      <c r="F29" s="473"/>
      <c r="G29" s="473"/>
      <c r="H29" s="76"/>
      <c r="I29" s="475"/>
      <c r="J29" s="475"/>
      <c r="K29" s="478"/>
      <c r="L29" s="478"/>
      <c r="M29" s="179"/>
      <c r="N29" s="179"/>
      <c r="O29" s="179"/>
      <c r="P29" s="180"/>
    </row>
    <row r="30" spans="1:16" s="133" customFormat="1" x14ac:dyDescent="0.3">
      <c r="A30" s="472">
        <v>10</v>
      </c>
      <c r="B30" s="472">
        <v>801412</v>
      </c>
      <c r="C30" s="481" t="s">
        <v>276</v>
      </c>
      <c r="D30" s="472">
        <v>1</v>
      </c>
      <c r="E30" s="479" t="s">
        <v>134</v>
      </c>
      <c r="F30" s="474"/>
      <c r="G30" s="472">
        <v>30</v>
      </c>
      <c r="H30" s="472"/>
      <c r="I30" s="474">
        <v>30</v>
      </c>
      <c r="J30" s="474">
        <v>0.5</v>
      </c>
      <c r="K30" s="474">
        <v>1</v>
      </c>
      <c r="L30" s="474">
        <v>60</v>
      </c>
      <c r="M30" s="177">
        <v>10932</v>
      </c>
      <c r="N30" s="177" t="s">
        <v>346</v>
      </c>
      <c r="O30" s="177" t="s">
        <v>146</v>
      </c>
      <c r="P30" s="178">
        <v>15</v>
      </c>
    </row>
    <row r="31" spans="1:16" s="133" customFormat="1" x14ac:dyDescent="0.3">
      <c r="A31" s="473"/>
      <c r="B31" s="473"/>
      <c r="C31" s="482"/>
      <c r="D31" s="473"/>
      <c r="E31" s="475"/>
      <c r="F31" s="475"/>
      <c r="G31" s="473"/>
      <c r="H31" s="473"/>
      <c r="I31" s="475"/>
      <c r="J31" s="475"/>
      <c r="K31" s="478"/>
      <c r="L31" s="478"/>
      <c r="M31" s="179"/>
      <c r="N31" s="179"/>
      <c r="O31" s="179"/>
      <c r="P31" s="180"/>
    </row>
    <row r="32" spans="1:16" s="133" customFormat="1" x14ac:dyDescent="0.3">
      <c r="A32" s="472">
        <v>11</v>
      </c>
      <c r="B32" s="485">
        <v>801315</v>
      </c>
      <c r="C32" s="497" t="s">
        <v>277</v>
      </c>
      <c r="D32" s="485">
        <v>3</v>
      </c>
      <c r="E32" s="479" t="s">
        <v>134</v>
      </c>
      <c r="F32" s="479">
        <v>30</v>
      </c>
      <c r="G32" s="485">
        <v>15</v>
      </c>
      <c r="H32" s="485"/>
      <c r="I32" s="479">
        <v>45</v>
      </c>
      <c r="J32" s="479">
        <v>1</v>
      </c>
      <c r="K32" s="474">
        <v>1</v>
      </c>
      <c r="L32" s="474">
        <v>60</v>
      </c>
      <c r="M32" s="177">
        <v>10987</v>
      </c>
      <c r="N32" s="177" t="s">
        <v>359</v>
      </c>
      <c r="O32" s="177" t="s">
        <v>145</v>
      </c>
      <c r="P32" s="178">
        <v>45</v>
      </c>
    </row>
    <row r="33" spans="1:16" s="133" customFormat="1" x14ac:dyDescent="0.3">
      <c r="A33" s="480"/>
      <c r="B33" s="473"/>
      <c r="C33" s="482"/>
      <c r="D33" s="473"/>
      <c r="E33" s="475"/>
      <c r="F33" s="475"/>
      <c r="G33" s="473"/>
      <c r="H33" s="473"/>
      <c r="I33" s="475"/>
      <c r="J33" s="475"/>
      <c r="K33" s="478"/>
      <c r="L33" s="478"/>
      <c r="M33" s="179"/>
      <c r="N33" s="179"/>
      <c r="O33" s="179"/>
      <c r="P33" s="180"/>
    </row>
    <row r="34" spans="1:16" s="133" customFormat="1" x14ac:dyDescent="0.3">
      <c r="A34" s="472">
        <v>12</v>
      </c>
      <c r="B34" s="472">
        <v>801022</v>
      </c>
      <c r="C34" s="476" t="s">
        <v>279</v>
      </c>
      <c r="D34" s="472">
        <v>4</v>
      </c>
      <c r="E34" s="479" t="s">
        <v>278</v>
      </c>
      <c r="F34" s="474">
        <v>45</v>
      </c>
      <c r="G34" s="472">
        <v>15</v>
      </c>
      <c r="H34" s="472"/>
      <c r="I34" s="474">
        <v>60</v>
      </c>
      <c r="J34" s="474">
        <v>1</v>
      </c>
      <c r="K34" s="474">
        <v>1</v>
      </c>
      <c r="L34" s="474">
        <v>70</v>
      </c>
      <c r="M34" s="177">
        <v>10986</v>
      </c>
      <c r="N34" s="177" t="s">
        <v>359</v>
      </c>
      <c r="O34" s="177" t="s">
        <v>180</v>
      </c>
      <c r="P34" s="178">
        <v>60</v>
      </c>
    </row>
    <row r="35" spans="1:16" s="133" customFormat="1" x14ac:dyDescent="0.3">
      <c r="A35" s="473"/>
      <c r="B35" s="473"/>
      <c r="C35" s="477"/>
      <c r="D35" s="473"/>
      <c r="E35" s="475"/>
      <c r="F35" s="475"/>
      <c r="G35" s="473"/>
      <c r="H35" s="473"/>
      <c r="I35" s="475"/>
      <c r="J35" s="475"/>
      <c r="K35" s="478"/>
      <c r="L35" s="478"/>
      <c r="M35" s="181"/>
      <c r="N35" s="181"/>
      <c r="O35" s="181"/>
      <c r="P35" s="182"/>
    </row>
    <row r="36" spans="1:16" s="133" customFormat="1" x14ac:dyDescent="0.3">
      <c r="A36" s="472">
        <v>13</v>
      </c>
      <c r="B36" s="472">
        <v>801404</v>
      </c>
      <c r="C36" s="483" t="s">
        <v>185</v>
      </c>
      <c r="D36" s="472">
        <v>6</v>
      </c>
      <c r="E36" s="474" t="s">
        <v>278</v>
      </c>
      <c r="F36" s="474">
        <v>60</v>
      </c>
      <c r="G36" s="472">
        <v>30</v>
      </c>
      <c r="H36" s="472"/>
      <c r="I36" s="474">
        <v>90</v>
      </c>
      <c r="J36" s="474">
        <v>1</v>
      </c>
      <c r="K36" s="474">
        <v>1</v>
      </c>
      <c r="L36" s="474">
        <v>70</v>
      </c>
      <c r="M36" s="177">
        <v>10126</v>
      </c>
      <c r="N36" s="177" t="s">
        <v>363</v>
      </c>
      <c r="O36" s="246" t="s">
        <v>223</v>
      </c>
      <c r="P36" s="178">
        <v>60</v>
      </c>
    </row>
    <row r="37" spans="1:16" s="133" customFormat="1" x14ac:dyDescent="0.3">
      <c r="A37" s="480"/>
      <c r="B37" s="473"/>
      <c r="C37" s="484"/>
      <c r="D37" s="473"/>
      <c r="E37" s="475"/>
      <c r="F37" s="475"/>
      <c r="G37" s="473"/>
      <c r="H37" s="473"/>
      <c r="I37" s="475"/>
      <c r="J37" s="475"/>
      <c r="K37" s="478"/>
      <c r="L37" s="478"/>
      <c r="M37" s="179"/>
      <c r="N37" s="179" t="s">
        <v>346</v>
      </c>
      <c r="O37" s="247" t="s">
        <v>391</v>
      </c>
      <c r="P37" s="180">
        <v>30</v>
      </c>
    </row>
    <row r="38" spans="1:16" s="133" customFormat="1" x14ac:dyDescent="0.3">
      <c r="A38" s="472">
        <v>14</v>
      </c>
      <c r="B38" s="472">
        <v>801410</v>
      </c>
      <c r="C38" s="481" t="s">
        <v>280</v>
      </c>
      <c r="D38" s="474">
        <v>1</v>
      </c>
      <c r="E38" s="474" t="s">
        <v>278</v>
      </c>
      <c r="F38" s="472"/>
      <c r="G38" s="472">
        <v>30</v>
      </c>
      <c r="H38" s="75"/>
      <c r="I38" s="474">
        <v>30</v>
      </c>
      <c r="J38" s="474">
        <v>0.5</v>
      </c>
      <c r="K38" s="474">
        <v>1</v>
      </c>
      <c r="L38" s="474">
        <v>70</v>
      </c>
      <c r="M38" s="177">
        <v>10510</v>
      </c>
      <c r="N38" s="177" t="s">
        <v>359</v>
      </c>
      <c r="O38" s="183" t="s">
        <v>144</v>
      </c>
      <c r="P38" s="178">
        <v>15</v>
      </c>
    </row>
    <row r="39" spans="1:16" s="133" customFormat="1" x14ac:dyDescent="0.3">
      <c r="A39" s="473"/>
      <c r="B39" s="473"/>
      <c r="C39" s="482"/>
      <c r="D39" s="475"/>
      <c r="E39" s="475"/>
      <c r="F39" s="473"/>
      <c r="G39" s="473"/>
      <c r="H39" s="76"/>
      <c r="I39" s="475"/>
      <c r="J39" s="475"/>
      <c r="K39" s="478"/>
      <c r="L39" s="478"/>
      <c r="M39" s="179"/>
      <c r="N39" s="179"/>
      <c r="O39" s="175"/>
      <c r="P39" s="180"/>
    </row>
    <row r="40" spans="1:16" s="133" customFormat="1" x14ac:dyDescent="0.3">
      <c r="A40" s="472">
        <v>15</v>
      </c>
      <c r="B40" s="472">
        <v>801024</v>
      </c>
      <c r="C40" s="481" t="s">
        <v>281</v>
      </c>
      <c r="D40" s="472">
        <v>3</v>
      </c>
      <c r="E40" s="474" t="s">
        <v>278</v>
      </c>
      <c r="F40" s="474"/>
      <c r="G40" s="472">
        <v>45</v>
      </c>
      <c r="H40" s="472"/>
      <c r="I40" s="474">
        <v>45</v>
      </c>
      <c r="J40" s="474">
        <v>1</v>
      </c>
      <c r="K40" s="474">
        <v>1</v>
      </c>
      <c r="L40" s="474">
        <v>70</v>
      </c>
      <c r="M40" s="177">
        <v>11202</v>
      </c>
      <c r="N40" s="177" t="s">
        <v>359</v>
      </c>
      <c r="O40" s="177" t="s">
        <v>148</v>
      </c>
      <c r="P40" s="178">
        <v>45</v>
      </c>
    </row>
    <row r="41" spans="1:16" s="133" customFormat="1" x14ac:dyDescent="0.3">
      <c r="A41" s="480"/>
      <c r="B41" s="473"/>
      <c r="C41" s="482"/>
      <c r="D41" s="473"/>
      <c r="E41" s="475"/>
      <c r="F41" s="475"/>
      <c r="G41" s="473"/>
      <c r="H41" s="473"/>
      <c r="I41" s="475"/>
      <c r="J41" s="475"/>
      <c r="K41" s="478"/>
      <c r="L41" s="478"/>
      <c r="M41" s="179"/>
      <c r="N41" s="179"/>
      <c r="O41" s="179"/>
      <c r="P41" s="180"/>
    </row>
    <row r="42" spans="1:16" s="134" customFormat="1" x14ac:dyDescent="0.3">
      <c r="A42" s="69"/>
      <c r="B42" s="69"/>
      <c r="C42" s="69"/>
      <c r="D42" s="70"/>
      <c r="E42" s="70"/>
      <c r="F42" s="69"/>
      <c r="G42" s="69"/>
      <c r="H42" s="70"/>
      <c r="I42" s="70"/>
      <c r="J42" s="70"/>
      <c r="K42" s="70"/>
      <c r="L42" s="70"/>
      <c r="M42" s="70"/>
      <c r="N42" s="70"/>
      <c r="O42" s="70"/>
      <c r="P42" s="69"/>
    </row>
    <row r="43" spans="1:16" ht="21.75" customHeight="1" x14ac:dyDescent="0.3">
      <c r="A43" s="487" t="s">
        <v>53</v>
      </c>
      <c r="B43" s="487"/>
      <c r="C43" s="487"/>
      <c r="D43" s="487"/>
      <c r="E43" s="487"/>
      <c r="F43" s="487"/>
      <c r="G43" s="487"/>
      <c r="H43" s="487"/>
      <c r="I43" s="487"/>
      <c r="J43" s="487"/>
      <c r="K43" s="487"/>
      <c r="L43" s="487"/>
      <c r="M43" s="122"/>
      <c r="N43" s="122"/>
      <c r="O43" s="122"/>
      <c r="P43" s="123"/>
    </row>
    <row r="44" spans="1:16" x14ac:dyDescent="0.3">
      <c r="A44" s="486" t="s">
        <v>54</v>
      </c>
      <c r="B44" s="487"/>
      <c r="C44" s="122"/>
      <c r="D44" s="122"/>
      <c r="E44" s="122"/>
      <c r="F44" s="122"/>
      <c r="G44" s="122"/>
      <c r="H44" s="122"/>
      <c r="I44" s="122"/>
      <c r="J44" s="122"/>
      <c r="K44" s="122"/>
    </row>
    <row r="45" spans="1:16" ht="21.75" customHeight="1" x14ac:dyDescent="0.3">
      <c r="K45" s="459" t="s">
        <v>94</v>
      </c>
      <c r="L45" s="459"/>
      <c r="M45" s="459"/>
      <c r="N45" s="459"/>
      <c r="O45" s="459"/>
    </row>
    <row r="46" spans="1:16" x14ac:dyDescent="0.3">
      <c r="B46" s="199"/>
      <c r="C46" s="233" t="s">
        <v>303</v>
      </c>
      <c r="P46" s="126"/>
    </row>
    <row r="47" spans="1:16" x14ac:dyDescent="0.3">
      <c r="B47" s="199"/>
      <c r="C47" s="234" t="s">
        <v>142</v>
      </c>
      <c r="P47" s="125"/>
    </row>
    <row r="48" spans="1:16" x14ac:dyDescent="0.3">
      <c r="B48" s="199"/>
      <c r="C48" s="235" t="s">
        <v>304</v>
      </c>
      <c r="P48" s="125"/>
    </row>
    <row r="49" spans="2:18" x14ac:dyDescent="0.3">
      <c r="B49" s="199"/>
      <c r="C49" s="236" t="s">
        <v>305</v>
      </c>
      <c r="P49" s="125"/>
    </row>
    <row r="50" spans="2:18" x14ac:dyDescent="0.3">
      <c r="B50" s="199"/>
      <c r="C50" s="237" t="s">
        <v>306</v>
      </c>
      <c r="P50" s="116"/>
    </row>
    <row r="51" spans="2:18" x14ac:dyDescent="0.3">
      <c r="B51" s="199"/>
      <c r="C51" s="199"/>
      <c r="R51" s="124" t="s">
        <v>55</v>
      </c>
    </row>
  </sheetData>
  <mergeCells count="195">
    <mergeCell ref="A1:C1"/>
    <mergeCell ref="G1:O1"/>
    <mergeCell ref="A2:C2"/>
    <mergeCell ref="G2:O2"/>
    <mergeCell ref="A3:C3"/>
    <mergeCell ref="G4:O4"/>
    <mergeCell ref="K10:K11"/>
    <mergeCell ref="L10:L11"/>
    <mergeCell ref="M10:M11"/>
    <mergeCell ref="N10:N11"/>
    <mergeCell ref="O10:O11"/>
    <mergeCell ref="P10:P11"/>
    <mergeCell ref="A6:P6"/>
    <mergeCell ref="A7:P7"/>
    <mergeCell ref="A8:P8"/>
    <mergeCell ref="A10:A11"/>
    <mergeCell ref="B10:B11"/>
    <mergeCell ref="C10:C11"/>
    <mergeCell ref="D10:D11"/>
    <mergeCell ref="E10:E11"/>
    <mergeCell ref="F10:I10"/>
    <mergeCell ref="J10:J11"/>
    <mergeCell ref="A14:A15"/>
    <mergeCell ref="B14:B15"/>
    <mergeCell ref="C14:C15"/>
    <mergeCell ref="D14:D15"/>
    <mergeCell ref="E14:E15"/>
    <mergeCell ref="A12:A13"/>
    <mergeCell ref="B12:B13"/>
    <mergeCell ref="C12:C13"/>
    <mergeCell ref="D12:D13"/>
    <mergeCell ref="E12:E13"/>
    <mergeCell ref="F14:F15"/>
    <mergeCell ref="G14:G15"/>
    <mergeCell ref="I14:I15"/>
    <mergeCell ref="J14:J15"/>
    <mergeCell ref="K14:K15"/>
    <mergeCell ref="L14:L15"/>
    <mergeCell ref="G12:G13"/>
    <mergeCell ref="I12:I13"/>
    <mergeCell ref="J12:J13"/>
    <mergeCell ref="K12:K13"/>
    <mergeCell ref="L12:L13"/>
    <mergeCell ref="F12:F13"/>
    <mergeCell ref="A18:A19"/>
    <mergeCell ref="B18:B19"/>
    <mergeCell ref="C18:C19"/>
    <mergeCell ref="D18:D19"/>
    <mergeCell ref="E18:E19"/>
    <mergeCell ref="A16:A17"/>
    <mergeCell ref="B16:B17"/>
    <mergeCell ref="C16:C17"/>
    <mergeCell ref="D16:D17"/>
    <mergeCell ref="E16:E17"/>
    <mergeCell ref="F18:F19"/>
    <mergeCell ref="G18:G19"/>
    <mergeCell ref="I18:I19"/>
    <mergeCell ref="J18:J19"/>
    <mergeCell ref="K18:K19"/>
    <mergeCell ref="L18:L19"/>
    <mergeCell ref="G16:G17"/>
    <mergeCell ref="I16:I17"/>
    <mergeCell ref="J16:J17"/>
    <mergeCell ref="K16:K17"/>
    <mergeCell ref="L16:L17"/>
    <mergeCell ref="F16:F17"/>
    <mergeCell ref="A22:A23"/>
    <mergeCell ref="B22:B23"/>
    <mergeCell ref="C22:C23"/>
    <mergeCell ref="D22:D23"/>
    <mergeCell ref="E22:E23"/>
    <mergeCell ref="A20:A21"/>
    <mergeCell ref="B20:B21"/>
    <mergeCell ref="C20:C21"/>
    <mergeCell ref="D20:D21"/>
    <mergeCell ref="E20:E21"/>
    <mergeCell ref="F22:F23"/>
    <mergeCell ref="G22:G23"/>
    <mergeCell ref="I22:I23"/>
    <mergeCell ref="J22:J23"/>
    <mergeCell ref="K22:K23"/>
    <mergeCell ref="L22:L23"/>
    <mergeCell ref="G20:G21"/>
    <mergeCell ref="I20:I21"/>
    <mergeCell ref="J20:J21"/>
    <mergeCell ref="K20:K21"/>
    <mergeCell ref="L20:L21"/>
    <mergeCell ref="F20:F21"/>
    <mergeCell ref="A26:A27"/>
    <mergeCell ref="B26:B27"/>
    <mergeCell ref="C26:C27"/>
    <mergeCell ref="D26:D27"/>
    <mergeCell ref="E26:E27"/>
    <mergeCell ref="A24:A25"/>
    <mergeCell ref="B24:B25"/>
    <mergeCell ref="C24:C25"/>
    <mergeCell ref="D24:D25"/>
    <mergeCell ref="E24:E25"/>
    <mergeCell ref="F26:F27"/>
    <mergeCell ref="G26:G27"/>
    <mergeCell ref="I26:I27"/>
    <mergeCell ref="J26:J27"/>
    <mergeCell ref="K26:K27"/>
    <mergeCell ref="L26:L27"/>
    <mergeCell ref="G24:G25"/>
    <mergeCell ref="I24:I25"/>
    <mergeCell ref="J24:J25"/>
    <mergeCell ref="K24:K25"/>
    <mergeCell ref="L24:L25"/>
    <mergeCell ref="F24:F25"/>
    <mergeCell ref="A30:A31"/>
    <mergeCell ref="B30:B31"/>
    <mergeCell ref="C30:C31"/>
    <mergeCell ref="D30:D31"/>
    <mergeCell ref="E30:E31"/>
    <mergeCell ref="A28:A29"/>
    <mergeCell ref="B28:B29"/>
    <mergeCell ref="C28:C29"/>
    <mergeCell ref="D28:D29"/>
    <mergeCell ref="E28:E29"/>
    <mergeCell ref="F30:F31"/>
    <mergeCell ref="G30:G31"/>
    <mergeCell ref="I30:I31"/>
    <mergeCell ref="J30:J31"/>
    <mergeCell ref="K30:K31"/>
    <mergeCell ref="L30:L31"/>
    <mergeCell ref="G28:G29"/>
    <mergeCell ref="I28:I29"/>
    <mergeCell ref="J28:J29"/>
    <mergeCell ref="K28:K29"/>
    <mergeCell ref="L28:L29"/>
    <mergeCell ref="F28:F29"/>
    <mergeCell ref="A34:A35"/>
    <mergeCell ref="B34:B35"/>
    <mergeCell ref="C34:C35"/>
    <mergeCell ref="D34:D35"/>
    <mergeCell ref="E34:E35"/>
    <mergeCell ref="A32:A33"/>
    <mergeCell ref="B32:B33"/>
    <mergeCell ref="C32:C33"/>
    <mergeCell ref="D32:D33"/>
    <mergeCell ref="E32:E33"/>
    <mergeCell ref="F34:F35"/>
    <mergeCell ref="G34:G35"/>
    <mergeCell ref="I34:I35"/>
    <mergeCell ref="J34:J35"/>
    <mergeCell ref="K34:K35"/>
    <mergeCell ref="L34:L35"/>
    <mergeCell ref="G32:G33"/>
    <mergeCell ref="I32:I33"/>
    <mergeCell ref="J32:J33"/>
    <mergeCell ref="K32:K33"/>
    <mergeCell ref="L32:L33"/>
    <mergeCell ref="F32:F33"/>
    <mergeCell ref="L38:L39"/>
    <mergeCell ref="G36:G37"/>
    <mergeCell ref="I36:I37"/>
    <mergeCell ref="J36:J37"/>
    <mergeCell ref="K36:K37"/>
    <mergeCell ref="L36:L37"/>
    <mergeCell ref="A38:A39"/>
    <mergeCell ref="B38:B39"/>
    <mergeCell ref="C38:C39"/>
    <mergeCell ref="D38:D39"/>
    <mergeCell ref="E38:E39"/>
    <mergeCell ref="A36:A37"/>
    <mergeCell ref="B36:B37"/>
    <mergeCell ref="C36:C37"/>
    <mergeCell ref="D36:D37"/>
    <mergeCell ref="E36:E37"/>
    <mergeCell ref="F36:F37"/>
    <mergeCell ref="A43:L43"/>
    <mergeCell ref="A44:B44"/>
    <mergeCell ref="K45:O45"/>
    <mergeCell ref="H30:H31"/>
    <mergeCell ref="H32:H33"/>
    <mergeCell ref="H34:H35"/>
    <mergeCell ref="H36:H37"/>
    <mergeCell ref="G40:G41"/>
    <mergeCell ref="H40:H41"/>
    <mergeCell ref="I40:I41"/>
    <mergeCell ref="J40:J41"/>
    <mergeCell ref="K40:K41"/>
    <mergeCell ref="L40:L41"/>
    <mergeCell ref="A40:A41"/>
    <mergeCell ref="B40:B41"/>
    <mergeCell ref="C40:C41"/>
    <mergeCell ref="D40:D41"/>
    <mergeCell ref="E40:E41"/>
    <mergeCell ref="F40:F41"/>
    <mergeCell ref="F38:F39"/>
    <mergeCell ref="G38:G39"/>
    <mergeCell ref="I38:I39"/>
    <mergeCell ref="J38:J39"/>
    <mergeCell ref="K38:K39"/>
  </mergeCells>
  <phoneticPr fontId="19" type="noConversion"/>
  <printOptions horizontalCentered="1"/>
  <pageMargins left="0.5" right="0" top="0.5" bottom="0.4" header="0.25" footer="0.15"/>
  <pageSetup paperSize="9" scale="70" orientation="landscape"/>
  <headerFooter alignWithMargins="0"/>
  <colBreaks count="1" manualBreakCount="1">
    <brk id="17" min="5" max="43" man="1"/>
  </colBreaks>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AE294"/>
  <sheetViews>
    <sheetView topLeftCell="A178" zoomScale="85" zoomScaleNormal="85" zoomScaleSheetLayoutView="85" workbookViewId="0">
      <selection activeCell="R154" sqref="R154:R177"/>
    </sheetView>
  </sheetViews>
  <sheetFormatPr defaultColWidth="8" defaultRowHeight="15" x14ac:dyDescent="0.2"/>
  <cols>
    <col min="1" max="1" width="5.625" style="208" customWidth="1"/>
    <col min="2" max="2" width="11" style="208" customWidth="1"/>
    <col min="3" max="3" width="32.625" style="208" customWidth="1"/>
    <col min="4" max="4" width="4.375" style="208" customWidth="1"/>
    <col min="5" max="5" width="8" style="208"/>
    <col min="6" max="7" width="6.375" style="208" customWidth="1"/>
    <col min="8" max="8" width="8.375" style="208" hidden="1" customWidth="1"/>
    <col min="9" max="9" width="6.125" style="208" customWidth="1"/>
    <col min="10" max="10" width="8.875" style="208" customWidth="1"/>
    <col min="11" max="11" width="8.875" style="39" customWidth="1"/>
    <col min="12" max="12" width="9.125" style="39" customWidth="1"/>
    <col min="13" max="13" width="10.25" style="39" customWidth="1"/>
    <col min="14" max="14" width="10.375" style="39" customWidth="1"/>
    <col min="15" max="15" width="25.625" style="39" customWidth="1"/>
    <col min="16" max="16" width="12.375" style="39" customWidth="1"/>
    <col min="17" max="17" width="1.375" style="39" customWidth="1"/>
    <col min="18" max="18" width="35.25" style="39" customWidth="1"/>
    <col min="19" max="16384" width="8" style="39"/>
  </cols>
  <sheetData>
    <row r="1" spans="1:31" ht="20.25" x14ac:dyDescent="0.3">
      <c r="A1" s="514" t="s">
        <v>107</v>
      </c>
      <c r="B1" s="514"/>
      <c r="C1" s="514"/>
      <c r="D1" s="200"/>
      <c r="E1" s="200"/>
      <c r="F1" s="201"/>
      <c r="G1" s="515" t="s">
        <v>42</v>
      </c>
      <c r="H1" s="515"/>
      <c r="I1" s="515"/>
      <c r="J1" s="515"/>
      <c r="K1" s="515"/>
      <c r="L1" s="515"/>
      <c r="M1" s="515"/>
      <c r="N1" s="515"/>
      <c r="O1" s="515"/>
      <c r="P1" s="202"/>
      <c r="Q1" s="203"/>
      <c r="R1" s="203"/>
      <c r="S1" s="203"/>
      <c r="T1" s="203"/>
    </row>
    <row r="2" spans="1:31" ht="20.25" x14ac:dyDescent="0.3">
      <c r="A2" s="514" t="s">
        <v>108</v>
      </c>
      <c r="B2" s="514"/>
      <c r="C2" s="514"/>
      <c r="D2" s="200"/>
      <c r="E2" s="200"/>
      <c r="F2" s="201"/>
      <c r="G2" s="515" t="s">
        <v>43</v>
      </c>
      <c r="H2" s="515"/>
      <c r="I2" s="515"/>
      <c r="J2" s="515"/>
      <c r="K2" s="515"/>
      <c r="L2" s="515"/>
      <c r="M2" s="515"/>
      <c r="N2" s="515"/>
      <c r="O2" s="515"/>
      <c r="P2" s="202"/>
      <c r="Q2" s="203"/>
      <c r="R2" s="203"/>
      <c r="S2" s="203"/>
      <c r="T2" s="203"/>
    </row>
    <row r="3" spans="1:31" ht="20.25" x14ac:dyDescent="0.3">
      <c r="A3" s="515" t="s">
        <v>0</v>
      </c>
      <c r="B3" s="515"/>
      <c r="C3" s="515"/>
      <c r="D3" s="202"/>
      <c r="E3" s="202"/>
      <c r="F3" s="201"/>
      <c r="G3" s="201"/>
      <c r="H3" s="201"/>
      <c r="I3" s="201"/>
      <c r="J3" s="201"/>
      <c r="K3" s="204"/>
      <c r="L3" s="204"/>
      <c r="M3" s="205"/>
      <c r="N3" s="205"/>
      <c r="O3" s="205"/>
      <c r="P3" s="205"/>
      <c r="Q3" s="206"/>
      <c r="R3" s="206"/>
      <c r="S3" s="206"/>
      <c r="T3" s="206"/>
    </row>
    <row r="4" spans="1:31" ht="25.5" x14ac:dyDescent="0.35">
      <c r="A4" s="201"/>
      <c r="B4" s="207"/>
      <c r="D4" s="202"/>
      <c r="E4" s="202"/>
      <c r="G4" s="516" t="s">
        <v>240</v>
      </c>
      <c r="H4" s="516"/>
      <c r="I4" s="516"/>
      <c r="J4" s="516"/>
      <c r="K4" s="516"/>
      <c r="L4" s="516"/>
      <c r="M4" s="516"/>
      <c r="N4" s="516"/>
      <c r="O4" s="516"/>
      <c r="P4" s="209"/>
      <c r="Q4" s="206"/>
      <c r="R4" s="206"/>
      <c r="S4" s="206"/>
      <c r="T4" s="206"/>
    </row>
    <row r="5" spans="1:31" ht="25.5" x14ac:dyDescent="0.35">
      <c r="A5" s="201"/>
      <c r="B5" s="207"/>
      <c r="D5" s="202"/>
      <c r="E5" s="202"/>
      <c r="F5" s="210"/>
      <c r="G5" s="210"/>
      <c r="H5" s="210"/>
      <c r="I5" s="210"/>
      <c r="J5" s="210"/>
      <c r="K5" s="210"/>
      <c r="L5" s="210"/>
      <c r="M5" s="210"/>
      <c r="N5" s="210"/>
      <c r="O5" s="210"/>
      <c r="P5" s="210"/>
      <c r="Q5" s="206"/>
      <c r="R5" s="206"/>
      <c r="S5" s="206"/>
      <c r="T5" s="206"/>
    </row>
    <row r="6" spans="1:31" ht="25.5" x14ac:dyDescent="0.35">
      <c r="A6" s="512" t="s">
        <v>228</v>
      </c>
      <c r="B6" s="512"/>
      <c r="C6" s="512"/>
      <c r="D6" s="512"/>
      <c r="E6" s="512"/>
      <c r="F6" s="512"/>
      <c r="G6" s="512"/>
      <c r="H6" s="512"/>
      <c r="I6" s="512"/>
      <c r="J6" s="512"/>
      <c r="K6" s="512"/>
      <c r="L6" s="512"/>
      <c r="M6" s="512"/>
      <c r="N6" s="512"/>
      <c r="O6" s="512"/>
      <c r="P6" s="512"/>
      <c r="Q6" s="211"/>
      <c r="R6" s="211"/>
      <c r="S6" s="211"/>
      <c r="T6" s="211"/>
      <c r="U6" s="211"/>
      <c r="V6" s="211"/>
      <c r="W6" s="211"/>
      <c r="X6" s="211"/>
      <c r="Y6" s="211"/>
      <c r="Z6" s="211"/>
      <c r="AA6" s="211"/>
      <c r="AB6" s="211"/>
      <c r="AC6" s="211"/>
      <c r="AD6" s="211"/>
      <c r="AE6" s="211"/>
    </row>
    <row r="7" spans="1:31" ht="21.75" x14ac:dyDescent="0.3">
      <c r="A7" s="513" t="s">
        <v>246</v>
      </c>
      <c r="B7" s="513"/>
      <c r="C7" s="513"/>
      <c r="D7" s="513"/>
      <c r="E7" s="513"/>
      <c r="F7" s="513"/>
      <c r="G7" s="513"/>
      <c r="H7" s="513"/>
      <c r="I7" s="513"/>
      <c r="J7" s="513"/>
      <c r="K7" s="513"/>
      <c r="L7" s="513"/>
      <c r="M7" s="513"/>
      <c r="N7" s="513"/>
      <c r="O7" s="513"/>
      <c r="P7" s="513"/>
      <c r="Q7" s="211"/>
      <c r="R7" s="211"/>
      <c r="S7" s="211"/>
      <c r="T7" s="211"/>
      <c r="U7" s="211"/>
      <c r="V7" s="211"/>
      <c r="W7" s="211"/>
      <c r="X7" s="211"/>
      <c r="Y7" s="211"/>
      <c r="Z7" s="211"/>
      <c r="AA7" s="211"/>
      <c r="AB7" s="211"/>
      <c r="AC7" s="211"/>
      <c r="AD7" s="211"/>
      <c r="AE7" s="211"/>
    </row>
    <row r="8" spans="1:31" ht="24" customHeight="1" x14ac:dyDescent="0.25">
      <c r="A8" s="513" t="s">
        <v>247</v>
      </c>
      <c r="B8" s="513"/>
      <c r="C8" s="513"/>
      <c r="D8" s="513"/>
      <c r="E8" s="513"/>
      <c r="F8" s="513"/>
      <c r="G8" s="513"/>
      <c r="H8" s="513"/>
      <c r="I8" s="513"/>
      <c r="J8" s="513"/>
      <c r="K8" s="513"/>
      <c r="L8" s="513"/>
      <c r="M8" s="513"/>
      <c r="N8" s="513"/>
      <c r="O8" s="513"/>
      <c r="P8" s="513"/>
      <c r="Q8" s="212"/>
      <c r="R8" s="212"/>
      <c r="S8" s="212"/>
      <c r="T8" s="212"/>
      <c r="U8" s="212"/>
      <c r="V8" s="212"/>
      <c r="W8" s="212"/>
      <c r="X8" s="212"/>
      <c r="Y8" s="212"/>
      <c r="Z8" s="212"/>
      <c r="AA8" s="212"/>
      <c r="AB8" s="212"/>
      <c r="AC8" s="212"/>
      <c r="AD8" s="212"/>
      <c r="AE8" s="212"/>
    </row>
    <row r="9" spans="1:31" ht="18.75" x14ac:dyDescent="0.25">
      <c r="A9" s="213"/>
      <c r="B9" s="213"/>
      <c r="C9" s="213"/>
      <c r="D9" s="213"/>
      <c r="E9" s="213"/>
      <c r="F9" s="213"/>
      <c r="G9" s="213"/>
      <c r="H9" s="213"/>
      <c r="I9" s="213"/>
      <c r="J9" s="213"/>
      <c r="K9" s="213"/>
      <c r="L9" s="213"/>
      <c r="M9" s="213"/>
      <c r="N9" s="213"/>
      <c r="O9" s="213"/>
      <c r="P9" s="213"/>
      <c r="Q9" s="212"/>
      <c r="R9" s="212"/>
      <c r="S9" s="212"/>
      <c r="T9" s="212"/>
      <c r="U9" s="212"/>
      <c r="V9" s="212"/>
      <c r="W9" s="212"/>
      <c r="X9" s="212"/>
      <c r="Y9" s="212"/>
      <c r="Z9" s="212"/>
      <c r="AA9" s="212"/>
      <c r="AB9" s="212"/>
      <c r="AC9" s="212"/>
      <c r="AD9" s="212"/>
      <c r="AE9" s="212"/>
    </row>
    <row r="10" spans="1:31" ht="27.75" customHeight="1" x14ac:dyDescent="0.2">
      <c r="A10" s="492" t="s">
        <v>2</v>
      </c>
      <c r="B10" s="492" t="s">
        <v>13</v>
      </c>
      <c r="C10" s="492" t="s">
        <v>7</v>
      </c>
      <c r="D10" s="488" t="s">
        <v>45</v>
      </c>
      <c r="E10" s="488" t="s">
        <v>56</v>
      </c>
      <c r="F10" s="494" t="s">
        <v>46</v>
      </c>
      <c r="G10" s="495"/>
      <c r="H10" s="495"/>
      <c r="I10" s="496"/>
      <c r="J10" s="488" t="s">
        <v>65</v>
      </c>
      <c r="K10" s="488" t="s">
        <v>47</v>
      </c>
      <c r="L10" s="488" t="s">
        <v>48</v>
      </c>
      <c r="M10" s="488" t="s">
        <v>49</v>
      </c>
      <c r="N10" s="488" t="s">
        <v>5</v>
      </c>
      <c r="O10" s="488" t="s">
        <v>50</v>
      </c>
      <c r="P10" s="488" t="s">
        <v>64</v>
      </c>
    </row>
    <row r="11" spans="1:31" ht="39.75" customHeight="1" x14ac:dyDescent="0.2">
      <c r="A11" s="489"/>
      <c r="B11" s="489"/>
      <c r="C11" s="489"/>
      <c r="D11" s="493"/>
      <c r="E11" s="493"/>
      <c r="F11" s="56" t="s">
        <v>51</v>
      </c>
      <c r="G11" s="56" t="s">
        <v>52</v>
      </c>
      <c r="H11" s="57"/>
      <c r="I11" s="58" t="s">
        <v>11</v>
      </c>
      <c r="J11" s="489"/>
      <c r="K11" s="493"/>
      <c r="L11" s="493"/>
      <c r="M11" s="493"/>
      <c r="N11" s="493"/>
      <c r="O11" s="493"/>
      <c r="P11" s="489"/>
    </row>
    <row r="12" spans="1:31" ht="19.5" x14ac:dyDescent="0.2">
      <c r="A12" s="417">
        <v>1</v>
      </c>
      <c r="B12" s="417">
        <v>864001</v>
      </c>
      <c r="C12" s="417" t="s">
        <v>229</v>
      </c>
      <c r="D12" s="411">
        <v>3</v>
      </c>
      <c r="E12" s="474"/>
      <c r="F12" s="472"/>
      <c r="G12" s="472"/>
      <c r="H12" s="75"/>
      <c r="I12" s="474"/>
      <c r="J12" s="474"/>
      <c r="K12" s="411">
        <v>1</v>
      </c>
      <c r="L12" s="411">
        <v>60</v>
      </c>
      <c r="M12" s="75">
        <v>11381</v>
      </c>
      <c r="N12" s="75" t="s">
        <v>361</v>
      </c>
      <c r="O12" s="184" t="s">
        <v>195</v>
      </c>
      <c r="P12" s="117">
        <v>45</v>
      </c>
      <c r="R12" s="510"/>
    </row>
    <row r="13" spans="1:31" ht="19.5" x14ac:dyDescent="0.2">
      <c r="A13" s="418"/>
      <c r="B13" s="419"/>
      <c r="C13" s="419"/>
      <c r="D13" s="416"/>
      <c r="E13" s="475"/>
      <c r="F13" s="473"/>
      <c r="G13" s="473"/>
      <c r="H13" s="118"/>
      <c r="I13" s="475"/>
      <c r="J13" s="475"/>
      <c r="K13" s="416"/>
      <c r="L13" s="416"/>
      <c r="M13" s="118"/>
      <c r="N13" s="118"/>
      <c r="O13" s="179"/>
      <c r="P13" s="119"/>
      <c r="R13" s="510"/>
    </row>
    <row r="14" spans="1:31" ht="19.5" x14ac:dyDescent="0.2">
      <c r="A14" s="417">
        <v>2</v>
      </c>
      <c r="B14" s="417">
        <v>864001</v>
      </c>
      <c r="C14" s="417" t="s">
        <v>229</v>
      </c>
      <c r="D14" s="411">
        <v>3</v>
      </c>
      <c r="E14" s="474"/>
      <c r="F14" s="472"/>
      <c r="G14" s="472"/>
      <c r="H14" s="75"/>
      <c r="I14" s="474"/>
      <c r="J14" s="474"/>
      <c r="K14" s="411">
        <v>1</v>
      </c>
      <c r="L14" s="411">
        <v>60</v>
      </c>
      <c r="M14" s="75">
        <v>11006</v>
      </c>
      <c r="N14" s="75" t="s">
        <v>346</v>
      </c>
      <c r="O14" s="184" t="s">
        <v>186</v>
      </c>
      <c r="P14" s="117">
        <v>45</v>
      </c>
    </row>
    <row r="15" spans="1:31" ht="19.5" x14ac:dyDescent="0.2">
      <c r="A15" s="418"/>
      <c r="B15" s="419"/>
      <c r="C15" s="419"/>
      <c r="D15" s="416"/>
      <c r="E15" s="475"/>
      <c r="F15" s="473"/>
      <c r="G15" s="473"/>
      <c r="H15" s="118"/>
      <c r="I15" s="475"/>
      <c r="J15" s="475"/>
      <c r="K15" s="416"/>
      <c r="L15" s="416"/>
      <c r="M15" s="118"/>
      <c r="N15" s="118"/>
      <c r="O15" s="179"/>
      <c r="P15" s="119"/>
    </row>
    <row r="16" spans="1:31" ht="19.5" x14ac:dyDescent="0.2">
      <c r="A16" s="417">
        <v>3</v>
      </c>
      <c r="B16" s="417">
        <v>864001</v>
      </c>
      <c r="C16" s="417" t="s">
        <v>229</v>
      </c>
      <c r="D16" s="411">
        <v>3</v>
      </c>
      <c r="E16" s="474"/>
      <c r="F16" s="472"/>
      <c r="G16" s="472"/>
      <c r="H16" s="75"/>
      <c r="I16" s="474"/>
      <c r="J16" s="474"/>
      <c r="K16" s="411">
        <v>1</v>
      </c>
      <c r="L16" s="411">
        <v>60</v>
      </c>
      <c r="M16" s="75">
        <v>11006</v>
      </c>
      <c r="N16" s="75" t="s">
        <v>346</v>
      </c>
      <c r="O16" s="184" t="s">
        <v>186</v>
      </c>
      <c r="P16" s="117">
        <v>45</v>
      </c>
    </row>
    <row r="17" spans="1:16" ht="19.5" x14ac:dyDescent="0.2">
      <c r="A17" s="418"/>
      <c r="B17" s="419"/>
      <c r="C17" s="419"/>
      <c r="D17" s="416"/>
      <c r="E17" s="475"/>
      <c r="F17" s="473"/>
      <c r="G17" s="473"/>
      <c r="H17" s="118"/>
      <c r="I17" s="475"/>
      <c r="J17" s="475"/>
      <c r="K17" s="416"/>
      <c r="L17" s="416"/>
      <c r="M17" s="118"/>
      <c r="N17" s="118"/>
      <c r="O17" s="179"/>
      <c r="P17" s="119"/>
    </row>
    <row r="18" spans="1:16" ht="19.5" x14ac:dyDescent="0.2">
      <c r="A18" s="417">
        <v>4</v>
      </c>
      <c r="B18" s="417">
        <v>864001</v>
      </c>
      <c r="C18" s="417" t="s">
        <v>229</v>
      </c>
      <c r="D18" s="411">
        <v>3</v>
      </c>
      <c r="E18" s="474"/>
      <c r="F18" s="472"/>
      <c r="G18" s="472"/>
      <c r="H18" s="75"/>
      <c r="I18" s="474"/>
      <c r="J18" s="474"/>
      <c r="K18" s="411">
        <v>1</v>
      </c>
      <c r="L18" s="411">
        <v>60</v>
      </c>
      <c r="M18" s="75">
        <v>11489</v>
      </c>
      <c r="N18" s="75" t="s">
        <v>359</v>
      </c>
      <c r="O18" s="184" t="s">
        <v>241</v>
      </c>
      <c r="P18" s="117">
        <v>45</v>
      </c>
    </row>
    <row r="19" spans="1:16" ht="19.5" x14ac:dyDescent="0.2">
      <c r="A19" s="418"/>
      <c r="B19" s="419"/>
      <c r="C19" s="419"/>
      <c r="D19" s="416"/>
      <c r="E19" s="475"/>
      <c r="F19" s="473"/>
      <c r="G19" s="473"/>
      <c r="H19" s="118"/>
      <c r="I19" s="475"/>
      <c r="J19" s="475"/>
      <c r="K19" s="416"/>
      <c r="L19" s="416"/>
      <c r="M19" s="118"/>
      <c r="N19" s="118"/>
      <c r="O19" s="179"/>
      <c r="P19" s="119"/>
    </row>
    <row r="20" spans="1:16" ht="19.5" x14ac:dyDescent="0.2">
      <c r="A20" s="417">
        <v>5</v>
      </c>
      <c r="B20" s="417">
        <v>864001</v>
      </c>
      <c r="C20" s="417" t="s">
        <v>229</v>
      </c>
      <c r="D20" s="411">
        <v>3</v>
      </c>
      <c r="E20" s="474"/>
      <c r="F20" s="472"/>
      <c r="G20" s="472"/>
      <c r="H20" s="75"/>
      <c r="I20" s="474"/>
      <c r="J20" s="474"/>
      <c r="K20" s="411">
        <v>1</v>
      </c>
      <c r="L20" s="411">
        <v>60</v>
      </c>
      <c r="M20" s="75">
        <v>10510</v>
      </c>
      <c r="N20" s="75" t="s">
        <v>359</v>
      </c>
      <c r="O20" s="184" t="s">
        <v>144</v>
      </c>
      <c r="P20" s="117">
        <v>45</v>
      </c>
    </row>
    <row r="21" spans="1:16" ht="19.5" x14ac:dyDescent="0.2">
      <c r="A21" s="418"/>
      <c r="B21" s="419"/>
      <c r="C21" s="419"/>
      <c r="D21" s="416"/>
      <c r="E21" s="475"/>
      <c r="F21" s="473"/>
      <c r="G21" s="473"/>
      <c r="H21" s="118"/>
      <c r="I21" s="475"/>
      <c r="J21" s="475"/>
      <c r="K21" s="416"/>
      <c r="L21" s="416"/>
      <c r="M21" s="118"/>
      <c r="N21" s="118"/>
      <c r="O21" s="179"/>
      <c r="P21" s="119"/>
    </row>
    <row r="22" spans="1:16" ht="19.5" x14ac:dyDescent="0.2">
      <c r="A22" s="417">
        <v>6</v>
      </c>
      <c r="B22" s="417">
        <v>864001</v>
      </c>
      <c r="C22" s="417" t="s">
        <v>229</v>
      </c>
      <c r="D22" s="411">
        <v>3</v>
      </c>
      <c r="E22" s="474"/>
      <c r="F22" s="472"/>
      <c r="G22" s="472"/>
      <c r="H22" s="75"/>
      <c r="I22" s="474"/>
      <c r="J22" s="474"/>
      <c r="K22" s="411">
        <v>1</v>
      </c>
      <c r="L22" s="411">
        <v>60</v>
      </c>
      <c r="M22" s="75">
        <v>10510</v>
      </c>
      <c r="N22" s="75" t="s">
        <v>359</v>
      </c>
      <c r="O22" s="184" t="s">
        <v>144</v>
      </c>
      <c r="P22" s="117">
        <v>45</v>
      </c>
    </row>
    <row r="23" spans="1:16" ht="19.5" x14ac:dyDescent="0.2">
      <c r="A23" s="418"/>
      <c r="B23" s="419"/>
      <c r="C23" s="419"/>
      <c r="D23" s="416"/>
      <c r="E23" s="475"/>
      <c r="F23" s="473"/>
      <c r="G23" s="473"/>
      <c r="H23" s="118"/>
      <c r="I23" s="475"/>
      <c r="J23" s="475"/>
      <c r="K23" s="416"/>
      <c r="L23" s="416"/>
      <c r="M23" s="118"/>
      <c r="N23" s="118"/>
      <c r="O23" s="179"/>
      <c r="P23" s="119"/>
    </row>
    <row r="24" spans="1:16" ht="19.5" x14ac:dyDescent="0.2">
      <c r="A24" s="417">
        <v>7</v>
      </c>
      <c r="B24" s="417">
        <v>864001</v>
      </c>
      <c r="C24" s="417" t="s">
        <v>229</v>
      </c>
      <c r="D24" s="411">
        <v>3</v>
      </c>
      <c r="E24" s="474"/>
      <c r="F24" s="472"/>
      <c r="G24" s="472"/>
      <c r="H24" s="75"/>
      <c r="I24" s="474"/>
      <c r="J24" s="474"/>
      <c r="K24" s="411">
        <v>1</v>
      </c>
      <c r="L24" s="411">
        <v>60</v>
      </c>
      <c r="M24" s="75">
        <v>11202</v>
      </c>
      <c r="N24" s="75" t="s">
        <v>359</v>
      </c>
      <c r="O24" s="280" t="s">
        <v>148</v>
      </c>
      <c r="P24" s="117">
        <v>45</v>
      </c>
    </row>
    <row r="25" spans="1:16" ht="19.5" x14ac:dyDescent="0.2">
      <c r="A25" s="418"/>
      <c r="B25" s="419"/>
      <c r="C25" s="419"/>
      <c r="D25" s="416"/>
      <c r="E25" s="475"/>
      <c r="F25" s="473"/>
      <c r="G25" s="473"/>
      <c r="H25" s="118"/>
      <c r="I25" s="475"/>
      <c r="J25" s="475"/>
      <c r="K25" s="416"/>
      <c r="L25" s="416"/>
      <c r="M25" s="118"/>
      <c r="N25" s="118"/>
      <c r="O25" s="179"/>
      <c r="P25" s="119"/>
    </row>
    <row r="26" spans="1:16" ht="19.5" x14ac:dyDescent="0.2">
      <c r="A26" s="417">
        <v>8</v>
      </c>
      <c r="B26" s="417">
        <v>864001</v>
      </c>
      <c r="C26" s="417" t="s">
        <v>229</v>
      </c>
      <c r="D26" s="411">
        <v>3</v>
      </c>
      <c r="E26" s="474"/>
      <c r="F26" s="472"/>
      <c r="G26" s="472"/>
      <c r="H26" s="75"/>
      <c r="I26" s="474"/>
      <c r="J26" s="474"/>
      <c r="K26" s="411">
        <v>1</v>
      </c>
      <c r="L26" s="411">
        <v>60</v>
      </c>
      <c r="M26" s="75">
        <v>10510</v>
      </c>
      <c r="N26" s="75" t="s">
        <v>359</v>
      </c>
      <c r="O26" s="280" t="s">
        <v>144</v>
      </c>
      <c r="P26" s="117">
        <v>45</v>
      </c>
    </row>
    <row r="27" spans="1:16" ht="19.5" x14ac:dyDescent="0.2">
      <c r="A27" s="418"/>
      <c r="B27" s="419"/>
      <c r="C27" s="419"/>
      <c r="D27" s="416"/>
      <c r="E27" s="475"/>
      <c r="F27" s="473"/>
      <c r="G27" s="473"/>
      <c r="H27" s="118"/>
      <c r="I27" s="475"/>
      <c r="J27" s="475"/>
      <c r="K27" s="416"/>
      <c r="L27" s="416"/>
      <c r="M27" s="118"/>
      <c r="N27" s="118"/>
      <c r="O27" s="179"/>
      <c r="P27" s="119"/>
    </row>
    <row r="28" spans="1:16" ht="19.5" x14ac:dyDescent="0.2">
      <c r="A28" s="417">
        <v>9</v>
      </c>
      <c r="B28" s="417">
        <v>864001</v>
      </c>
      <c r="C28" s="417" t="s">
        <v>229</v>
      </c>
      <c r="D28" s="411">
        <v>3</v>
      </c>
      <c r="E28" s="474"/>
      <c r="F28" s="472"/>
      <c r="G28" s="472"/>
      <c r="H28" s="75"/>
      <c r="I28" s="474"/>
      <c r="J28" s="474"/>
      <c r="K28" s="411">
        <v>1</v>
      </c>
      <c r="L28" s="411">
        <v>60</v>
      </c>
      <c r="M28" s="75">
        <v>10131</v>
      </c>
      <c r="N28" s="75" t="s">
        <v>346</v>
      </c>
      <c r="O28" s="280" t="s">
        <v>216</v>
      </c>
      <c r="P28" s="117">
        <v>45</v>
      </c>
    </row>
    <row r="29" spans="1:16" ht="19.5" x14ac:dyDescent="0.2">
      <c r="A29" s="418"/>
      <c r="B29" s="419"/>
      <c r="C29" s="419"/>
      <c r="D29" s="416"/>
      <c r="E29" s="475"/>
      <c r="F29" s="473"/>
      <c r="G29" s="473"/>
      <c r="H29" s="118"/>
      <c r="I29" s="475"/>
      <c r="J29" s="475"/>
      <c r="K29" s="416"/>
      <c r="L29" s="416"/>
      <c r="M29" s="118"/>
      <c r="N29" s="118"/>
      <c r="O29" s="179"/>
      <c r="P29" s="119"/>
    </row>
    <row r="30" spans="1:16" ht="19.5" x14ac:dyDescent="0.2">
      <c r="A30" s="417">
        <v>10</v>
      </c>
      <c r="B30" s="417">
        <v>864001</v>
      </c>
      <c r="C30" s="417" t="s">
        <v>229</v>
      </c>
      <c r="D30" s="411">
        <v>3</v>
      </c>
      <c r="E30" s="474"/>
      <c r="F30" s="472"/>
      <c r="G30" s="472"/>
      <c r="H30" s="75"/>
      <c r="I30" s="474"/>
      <c r="J30" s="474"/>
      <c r="K30" s="411">
        <v>1</v>
      </c>
      <c r="L30" s="411">
        <v>60</v>
      </c>
      <c r="M30" s="75">
        <v>10131</v>
      </c>
      <c r="N30" s="75" t="s">
        <v>346</v>
      </c>
      <c r="O30" s="280" t="s">
        <v>216</v>
      </c>
      <c r="P30" s="117">
        <v>45</v>
      </c>
    </row>
    <row r="31" spans="1:16" ht="19.5" x14ac:dyDescent="0.2">
      <c r="A31" s="418"/>
      <c r="B31" s="419"/>
      <c r="C31" s="419"/>
      <c r="D31" s="416"/>
      <c r="E31" s="475"/>
      <c r="F31" s="473"/>
      <c r="G31" s="473"/>
      <c r="H31" s="118"/>
      <c r="I31" s="475"/>
      <c r="J31" s="475"/>
      <c r="K31" s="416"/>
      <c r="L31" s="416"/>
      <c r="M31" s="118"/>
      <c r="N31" s="118"/>
      <c r="O31" s="179"/>
      <c r="P31" s="119"/>
    </row>
    <row r="32" spans="1:16" ht="19.5" x14ac:dyDescent="0.2">
      <c r="A32" s="417">
        <v>11</v>
      </c>
      <c r="B32" s="417">
        <v>864001</v>
      </c>
      <c r="C32" s="417" t="s">
        <v>229</v>
      </c>
      <c r="D32" s="411">
        <v>3</v>
      </c>
      <c r="E32" s="474"/>
      <c r="F32" s="472"/>
      <c r="G32" s="472"/>
      <c r="H32" s="75"/>
      <c r="I32" s="474"/>
      <c r="J32" s="474"/>
      <c r="K32" s="411">
        <v>1</v>
      </c>
      <c r="L32" s="411">
        <v>60</v>
      </c>
      <c r="M32" s="75">
        <v>11202</v>
      </c>
      <c r="N32" s="75" t="s">
        <v>359</v>
      </c>
      <c r="O32" s="280" t="s">
        <v>148</v>
      </c>
      <c r="P32" s="117">
        <v>45</v>
      </c>
    </row>
    <row r="33" spans="1:16" ht="19.5" x14ac:dyDescent="0.2">
      <c r="A33" s="418"/>
      <c r="B33" s="419"/>
      <c r="C33" s="419"/>
      <c r="D33" s="416"/>
      <c r="E33" s="475"/>
      <c r="F33" s="473"/>
      <c r="G33" s="473"/>
      <c r="H33" s="118"/>
      <c r="I33" s="475"/>
      <c r="J33" s="475"/>
      <c r="K33" s="416"/>
      <c r="L33" s="416"/>
      <c r="M33" s="118"/>
      <c r="N33" s="118"/>
      <c r="O33" s="179"/>
      <c r="P33" s="119"/>
    </row>
    <row r="34" spans="1:16" ht="19.5" x14ac:dyDescent="0.2">
      <c r="A34" s="417">
        <v>12</v>
      </c>
      <c r="B34" s="417">
        <v>864001</v>
      </c>
      <c r="C34" s="417" t="s">
        <v>229</v>
      </c>
      <c r="D34" s="411">
        <v>3</v>
      </c>
      <c r="E34" s="474"/>
      <c r="F34" s="472"/>
      <c r="G34" s="472"/>
      <c r="H34" s="75"/>
      <c r="I34" s="474"/>
      <c r="J34" s="474"/>
      <c r="K34" s="411">
        <v>1</v>
      </c>
      <c r="L34" s="411">
        <v>60</v>
      </c>
      <c r="M34" s="75">
        <v>11202</v>
      </c>
      <c r="N34" s="75" t="s">
        <v>359</v>
      </c>
      <c r="O34" s="280" t="s">
        <v>148</v>
      </c>
      <c r="P34" s="117">
        <v>45</v>
      </c>
    </row>
    <row r="35" spans="1:16" ht="19.5" x14ac:dyDescent="0.2">
      <c r="A35" s="418"/>
      <c r="B35" s="419"/>
      <c r="C35" s="419"/>
      <c r="D35" s="416"/>
      <c r="E35" s="475"/>
      <c r="F35" s="473"/>
      <c r="G35" s="473"/>
      <c r="H35" s="118"/>
      <c r="I35" s="475"/>
      <c r="J35" s="475"/>
      <c r="K35" s="416"/>
      <c r="L35" s="416"/>
      <c r="M35" s="118"/>
      <c r="N35" s="118"/>
      <c r="O35" s="179"/>
      <c r="P35" s="119"/>
    </row>
    <row r="36" spans="1:16" ht="19.5" x14ac:dyDescent="0.2">
      <c r="A36" s="417">
        <v>13</v>
      </c>
      <c r="B36" s="417">
        <v>864001</v>
      </c>
      <c r="C36" s="417" t="s">
        <v>229</v>
      </c>
      <c r="D36" s="411">
        <v>3</v>
      </c>
      <c r="E36" s="474"/>
      <c r="F36" s="472"/>
      <c r="G36" s="472"/>
      <c r="H36" s="75"/>
      <c r="I36" s="474"/>
      <c r="J36" s="474"/>
      <c r="K36" s="411">
        <v>1</v>
      </c>
      <c r="L36" s="411">
        <v>60</v>
      </c>
      <c r="M36" s="75">
        <v>11202</v>
      </c>
      <c r="N36" s="75" t="s">
        <v>359</v>
      </c>
      <c r="O36" s="280" t="s">
        <v>148</v>
      </c>
      <c r="P36" s="117">
        <v>45</v>
      </c>
    </row>
    <row r="37" spans="1:16" ht="19.5" x14ac:dyDescent="0.2">
      <c r="A37" s="418"/>
      <c r="B37" s="419"/>
      <c r="C37" s="419"/>
      <c r="D37" s="416"/>
      <c r="E37" s="475"/>
      <c r="F37" s="473"/>
      <c r="G37" s="473"/>
      <c r="H37" s="118"/>
      <c r="I37" s="475"/>
      <c r="J37" s="475"/>
      <c r="K37" s="416"/>
      <c r="L37" s="416"/>
      <c r="M37" s="118"/>
      <c r="N37" s="118"/>
      <c r="O37" s="179"/>
      <c r="P37" s="119"/>
    </row>
    <row r="38" spans="1:16" ht="19.5" x14ac:dyDescent="0.2">
      <c r="A38" s="417">
        <v>14</v>
      </c>
      <c r="B38" s="417">
        <v>864001</v>
      </c>
      <c r="C38" s="417" t="s">
        <v>229</v>
      </c>
      <c r="D38" s="411">
        <v>3</v>
      </c>
      <c r="E38" s="474"/>
      <c r="F38" s="472"/>
      <c r="G38" s="472"/>
      <c r="H38" s="75"/>
      <c r="I38" s="474"/>
      <c r="J38" s="474"/>
      <c r="K38" s="411">
        <v>1</v>
      </c>
      <c r="L38" s="411">
        <v>60</v>
      </c>
      <c r="M38" s="75">
        <v>10145</v>
      </c>
      <c r="N38" s="75" t="s">
        <v>346</v>
      </c>
      <c r="O38" s="280" t="s">
        <v>147</v>
      </c>
      <c r="P38" s="117">
        <v>45</v>
      </c>
    </row>
    <row r="39" spans="1:16" ht="19.5" x14ac:dyDescent="0.2">
      <c r="A39" s="418"/>
      <c r="B39" s="419"/>
      <c r="C39" s="419"/>
      <c r="D39" s="416"/>
      <c r="E39" s="475"/>
      <c r="F39" s="473"/>
      <c r="G39" s="473"/>
      <c r="H39" s="118"/>
      <c r="I39" s="475"/>
      <c r="J39" s="475"/>
      <c r="K39" s="416"/>
      <c r="L39" s="416"/>
      <c r="M39" s="118"/>
      <c r="N39" s="118"/>
      <c r="O39" s="179"/>
      <c r="P39" s="119"/>
    </row>
    <row r="40" spans="1:16" ht="19.5" x14ac:dyDescent="0.2">
      <c r="A40" s="417">
        <v>15</v>
      </c>
      <c r="B40" s="417">
        <v>864001</v>
      </c>
      <c r="C40" s="417" t="s">
        <v>229</v>
      </c>
      <c r="D40" s="411">
        <v>3</v>
      </c>
      <c r="E40" s="474"/>
      <c r="F40" s="472"/>
      <c r="G40" s="472"/>
      <c r="H40" s="75"/>
      <c r="I40" s="474"/>
      <c r="J40" s="474"/>
      <c r="K40" s="411">
        <v>1</v>
      </c>
      <c r="L40" s="411">
        <v>60</v>
      </c>
      <c r="M40" s="75">
        <v>11204</v>
      </c>
      <c r="N40" s="75" t="s">
        <v>359</v>
      </c>
      <c r="O40" s="280" t="s">
        <v>187</v>
      </c>
      <c r="P40" s="117">
        <v>45</v>
      </c>
    </row>
    <row r="41" spans="1:16" ht="19.5" x14ac:dyDescent="0.2">
      <c r="A41" s="418"/>
      <c r="B41" s="419"/>
      <c r="C41" s="419"/>
      <c r="D41" s="416"/>
      <c r="E41" s="475"/>
      <c r="F41" s="473"/>
      <c r="G41" s="473"/>
      <c r="H41" s="118"/>
      <c r="I41" s="475"/>
      <c r="J41" s="475"/>
      <c r="K41" s="416"/>
      <c r="L41" s="416"/>
      <c r="M41" s="118"/>
      <c r="N41" s="118"/>
      <c r="O41" s="179"/>
      <c r="P41" s="119"/>
    </row>
    <row r="42" spans="1:16" ht="20.25" x14ac:dyDescent="0.2">
      <c r="A42" s="417">
        <v>16</v>
      </c>
      <c r="B42" s="417">
        <v>864001</v>
      </c>
      <c r="C42" s="417" t="s">
        <v>229</v>
      </c>
      <c r="D42" s="411">
        <v>3</v>
      </c>
      <c r="E42" s="474"/>
      <c r="F42" s="472"/>
      <c r="G42" s="472"/>
      <c r="H42" s="75"/>
      <c r="I42" s="474"/>
      <c r="J42" s="474"/>
      <c r="K42" s="411">
        <v>1</v>
      </c>
      <c r="L42" s="411">
        <v>60</v>
      </c>
      <c r="M42" s="75">
        <v>10135</v>
      </c>
      <c r="N42" s="75" t="s">
        <v>359</v>
      </c>
      <c r="O42" s="281" t="s">
        <v>205</v>
      </c>
      <c r="P42" s="117">
        <v>45</v>
      </c>
    </row>
    <row r="43" spans="1:16" ht="19.5" x14ac:dyDescent="0.2">
      <c r="A43" s="418"/>
      <c r="B43" s="419"/>
      <c r="C43" s="419"/>
      <c r="D43" s="416"/>
      <c r="E43" s="475"/>
      <c r="F43" s="473"/>
      <c r="G43" s="473"/>
      <c r="H43" s="118"/>
      <c r="I43" s="475"/>
      <c r="J43" s="475"/>
      <c r="K43" s="416"/>
      <c r="L43" s="416"/>
      <c r="M43" s="118"/>
      <c r="N43" s="118"/>
      <c r="O43" s="179"/>
      <c r="P43" s="119"/>
    </row>
    <row r="44" spans="1:16" ht="20.25" x14ac:dyDescent="0.2">
      <c r="A44" s="417">
        <v>17</v>
      </c>
      <c r="B44" s="417">
        <v>864001</v>
      </c>
      <c r="C44" s="417" t="s">
        <v>229</v>
      </c>
      <c r="D44" s="411">
        <v>3</v>
      </c>
      <c r="E44" s="474"/>
      <c r="F44" s="472"/>
      <c r="G44" s="472"/>
      <c r="H44" s="75"/>
      <c r="I44" s="474"/>
      <c r="J44" s="474"/>
      <c r="K44" s="411">
        <v>1</v>
      </c>
      <c r="L44" s="411">
        <v>60</v>
      </c>
      <c r="M44" s="75">
        <v>11489</v>
      </c>
      <c r="N44" s="75" t="s">
        <v>359</v>
      </c>
      <c r="O44" s="281" t="s">
        <v>241</v>
      </c>
      <c r="P44" s="117">
        <v>45</v>
      </c>
    </row>
    <row r="45" spans="1:16" ht="19.5" x14ac:dyDescent="0.2">
      <c r="A45" s="418"/>
      <c r="B45" s="419"/>
      <c r="C45" s="419"/>
      <c r="D45" s="416"/>
      <c r="E45" s="475"/>
      <c r="F45" s="473"/>
      <c r="G45" s="473"/>
      <c r="H45" s="118"/>
      <c r="I45" s="475"/>
      <c r="J45" s="475"/>
      <c r="K45" s="416"/>
      <c r="L45" s="416"/>
      <c r="M45" s="118"/>
      <c r="N45" s="118"/>
      <c r="O45" s="179"/>
      <c r="P45" s="119"/>
    </row>
    <row r="46" spans="1:16" ht="20.25" x14ac:dyDescent="0.2">
      <c r="A46" s="417">
        <v>18</v>
      </c>
      <c r="B46" s="417">
        <v>864001</v>
      </c>
      <c r="C46" s="417" t="s">
        <v>229</v>
      </c>
      <c r="D46" s="411">
        <v>3</v>
      </c>
      <c r="E46" s="474"/>
      <c r="F46" s="472"/>
      <c r="G46" s="472"/>
      <c r="H46" s="75"/>
      <c r="I46" s="474"/>
      <c r="J46" s="474"/>
      <c r="K46" s="411">
        <v>1</v>
      </c>
      <c r="L46" s="411">
        <v>60</v>
      </c>
      <c r="M46" s="75">
        <v>11489</v>
      </c>
      <c r="N46" s="75" t="s">
        <v>359</v>
      </c>
      <c r="O46" s="281" t="s">
        <v>241</v>
      </c>
      <c r="P46" s="117">
        <v>45</v>
      </c>
    </row>
    <row r="47" spans="1:16" ht="19.5" x14ac:dyDescent="0.2">
      <c r="A47" s="418"/>
      <c r="B47" s="419"/>
      <c r="C47" s="419"/>
      <c r="D47" s="416"/>
      <c r="E47" s="475"/>
      <c r="F47" s="473"/>
      <c r="G47" s="473"/>
      <c r="H47" s="118"/>
      <c r="I47" s="475"/>
      <c r="J47" s="475"/>
      <c r="K47" s="416"/>
      <c r="L47" s="416"/>
      <c r="M47" s="118"/>
      <c r="N47" s="118"/>
      <c r="O47" s="179"/>
      <c r="P47" s="119"/>
    </row>
    <row r="48" spans="1:16" ht="19.5" x14ac:dyDescent="0.2">
      <c r="A48" s="417">
        <v>1</v>
      </c>
      <c r="B48" s="417">
        <v>864002</v>
      </c>
      <c r="C48" s="417" t="s">
        <v>230</v>
      </c>
      <c r="D48" s="411">
        <v>3</v>
      </c>
      <c r="E48" s="474"/>
      <c r="F48" s="472"/>
      <c r="G48" s="472"/>
      <c r="H48" s="75"/>
      <c r="I48" s="474"/>
      <c r="J48" s="474"/>
      <c r="K48" s="411">
        <v>1</v>
      </c>
      <c r="L48" s="411">
        <v>60</v>
      </c>
      <c r="M48" s="75">
        <v>10145</v>
      </c>
      <c r="N48" s="75" t="s">
        <v>346</v>
      </c>
      <c r="O48" s="280" t="s">
        <v>147</v>
      </c>
      <c r="P48" s="117">
        <v>45</v>
      </c>
    </row>
    <row r="49" spans="1:18" ht="19.5" x14ac:dyDescent="0.2">
      <c r="A49" s="418"/>
      <c r="B49" s="419"/>
      <c r="C49" s="419"/>
      <c r="D49" s="416"/>
      <c r="E49" s="475"/>
      <c r="F49" s="473"/>
      <c r="G49" s="473"/>
      <c r="H49" s="118"/>
      <c r="I49" s="475"/>
      <c r="J49" s="475"/>
      <c r="K49" s="416"/>
      <c r="L49" s="416"/>
      <c r="M49" s="118"/>
      <c r="N49" s="118"/>
      <c r="O49" s="179"/>
      <c r="P49" s="119"/>
    </row>
    <row r="50" spans="1:18" ht="19.5" x14ac:dyDescent="0.2">
      <c r="A50" s="417">
        <v>2</v>
      </c>
      <c r="B50" s="417">
        <v>864002</v>
      </c>
      <c r="C50" s="417" t="s">
        <v>230</v>
      </c>
      <c r="D50" s="411">
        <v>3</v>
      </c>
      <c r="E50" s="474"/>
      <c r="F50" s="472"/>
      <c r="G50" s="472"/>
      <c r="H50" s="75"/>
      <c r="I50" s="474"/>
      <c r="J50" s="474"/>
      <c r="K50" s="411">
        <v>1</v>
      </c>
      <c r="L50" s="411">
        <v>60</v>
      </c>
      <c r="M50" s="75">
        <v>11204</v>
      </c>
      <c r="N50" s="75" t="s">
        <v>359</v>
      </c>
      <c r="O50" s="280" t="s">
        <v>187</v>
      </c>
      <c r="P50" s="117">
        <v>45</v>
      </c>
    </row>
    <row r="51" spans="1:18" ht="19.5" x14ac:dyDescent="0.2">
      <c r="A51" s="418"/>
      <c r="B51" s="419"/>
      <c r="C51" s="419"/>
      <c r="D51" s="416"/>
      <c r="E51" s="475"/>
      <c r="F51" s="473"/>
      <c r="G51" s="473"/>
      <c r="H51" s="118"/>
      <c r="I51" s="475"/>
      <c r="J51" s="475"/>
      <c r="K51" s="416"/>
      <c r="L51" s="416"/>
      <c r="M51" s="118"/>
      <c r="N51" s="118"/>
      <c r="O51" s="179"/>
      <c r="P51" s="119"/>
    </row>
    <row r="52" spans="1:18" ht="19.5" x14ac:dyDescent="0.2">
      <c r="A52" s="517">
        <v>1</v>
      </c>
      <c r="B52" s="517">
        <v>867001</v>
      </c>
      <c r="C52" s="517" t="s">
        <v>231</v>
      </c>
      <c r="D52" s="519">
        <v>3</v>
      </c>
      <c r="E52" s="519"/>
      <c r="F52" s="517"/>
      <c r="G52" s="517"/>
      <c r="H52" s="257"/>
      <c r="I52" s="519"/>
      <c r="J52" s="519"/>
      <c r="K52" s="519">
        <v>1</v>
      </c>
      <c r="L52" s="519">
        <v>120</v>
      </c>
      <c r="M52" s="257">
        <v>11204</v>
      </c>
      <c r="N52" s="257" t="s">
        <v>359</v>
      </c>
      <c r="O52" s="258" t="s">
        <v>187</v>
      </c>
      <c r="P52" s="259">
        <v>45</v>
      </c>
      <c r="R52" s="509" t="s">
        <v>318</v>
      </c>
    </row>
    <row r="53" spans="1:18" ht="19.5" x14ac:dyDescent="0.2">
      <c r="A53" s="518"/>
      <c r="B53" s="518"/>
      <c r="C53" s="518"/>
      <c r="D53" s="520"/>
      <c r="E53" s="521"/>
      <c r="F53" s="522"/>
      <c r="G53" s="522"/>
      <c r="H53" s="260"/>
      <c r="I53" s="521"/>
      <c r="J53" s="521"/>
      <c r="K53" s="520"/>
      <c r="L53" s="520"/>
      <c r="M53" s="260"/>
      <c r="N53" s="260"/>
      <c r="O53" s="261"/>
      <c r="P53" s="262"/>
      <c r="R53" s="509"/>
    </row>
    <row r="54" spans="1:18" ht="19.5" x14ac:dyDescent="0.2">
      <c r="A54" s="517">
        <v>2</v>
      </c>
      <c r="B54" s="517">
        <v>867001</v>
      </c>
      <c r="C54" s="517" t="s">
        <v>231</v>
      </c>
      <c r="D54" s="519">
        <v>3</v>
      </c>
      <c r="E54" s="519"/>
      <c r="F54" s="517"/>
      <c r="G54" s="517"/>
      <c r="H54" s="257"/>
      <c r="I54" s="519"/>
      <c r="J54" s="519"/>
      <c r="K54" s="519">
        <v>1</v>
      </c>
      <c r="L54" s="519">
        <v>120</v>
      </c>
      <c r="M54" s="257">
        <v>11204</v>
      </c>
      <c r="N54" s="257" t="s">
        <v>359</v>
      </c>
      <c r="O54" s="258" t="s">
        <v>187</v>
      </c>
      <c r="P54" s="259">
        <v>45</v>
      </c>
      <c r="R54" s="509"/>
    </row>
    <row r="55" spans="1:18" ht="19.5" x14ac:dyDescent="0.2">
      <c r="A55" s="518"/>
      <c r="B55" s="518"/>
      <c r="C55" s="518"/>
      <c r="D55" s="520"/>
      <c r="E55" s="521"/>
      <c r="F55" s="522"/>
      <c r="G55" s="522"/>
      <c r="H55" s="260"/>
      <c r="I55" s="521"/>
      <c r="J55" s="521"/>
      <c r="K55" s="520"/>
      <c r="L55" s="520"/>
      <c r="M55" s="260"/>
      <c r="N55" s="260"/>
      <c r="O55" s="261"/>
      <c r="P55" s="262"/>
      <c r="R55" s="509"/>
    </row>
    <row r="56" spans="1:18" ht="20.25" x14ac:dyDescent="0.2">
      <c r="A56" s="517">
        <v>3</v>
      </c>
      <c r="B56" s="517">
        <v>867001</v>
      </c>
      <c r="C56" s="517" t="s">
        <v>231</v>
      </c>
      <c r="D56" s="519">
        <v>3</v>
      </c>
      <c r="E56" s="519"/>
      <c r="F56" s="517"/>
      <c r="G56" s="517"/>
      <c r="H56" s="257"/>
      <c r="I56" s="519"/>
      <c r="J56" s="519"/>
      <c r="K56" s="519">
        <v>1</v>
      </c>
      <c r="L56" s="519">
        <v>60</v>
      </c>
      <c r="M56" s="257">
        <v>10898</v>
      </c>
      <c r="N56" s="257" t="s">
        <v>346</v>
      </c>
      <c r="O56" s="295" t="s">
        <v>188</v>
      </c>
      <c r="P56" s="259">
        <v>45</v>
      </c>
      <c r="R56" s="509"/>
    </row>
    <row r="57" spans="1:18" ht="19.5" x14ac:dyDescent="0.2">
      <c r="A57" s="518"/>
      <c r="B57" s="518"/>
      <c r="C57" s="518"/>
      <c r="D57" s="520"/>
      <c r="E57" s="521"/>
      <c r="F57" s="522"/>
      <c r="G57" s="522"/>
      <c r="H57" s="260"/>
      <c r="I57" s="521"/>
      <c r="J57" s="521"/>
      <c r="K57" s="520"/>
      <c r="L57" s="520"/>
      <c r="M57" s="260"/>
      <c r="N57" s="260"/>
      <c r="O57" s="261"/>
      <c r="P57" s="262"/>
      <c r="R57" s="509"/>
    </row>
    <row r="58" spans="1:18" ht="19.5" x14ac:dyDescent="0.2">
      <c r="A58" s="517">
        <v>4</v>
      </c>
      <c r="B58" s="517">
        <v>867001</v>
      </c>
      <c r="C58" s="517" t="s">
        <v>231</v>
      </c>
      <c r="D58" s="519">
        <v>3</v>
      </c>
      <c r="E58" s="519"/>
      <c r="F58" s="517"/>
      <c r="G58" s="517"/>
      <c r="H58" s="257"/>
      <c r="I58" s="519"/>
      <c r="J58" s="519"/>
      <c r="K58" s="519">
        <v>1</v>
      </c>
      <c r="L58" s="519">
        <v>60</v>
      </c>
      <c r="M58" s="257">
        <v>10903</v>
      </c>
      <c r="N58" s="257" t="s">
        <v>359</v>
      </c>
      <c r="O58" s="258" t="s">
        <v>161</v>
      </c>
      <c r="P58" s="259">
        <v>45</v>
      </c>
      <c r="R58" s="509"/>
    </row>
    <row r="59" spans="1:18" ht="19.5" x14ac:dyDescent="0.2">
      <c r="A59" s="518"/>
      <c r="B59" s="518"/>
      <c r="C59" s="518"/>
      <c r="D59" s="520"/>
      <c r="E59" s="521"/>
      <c r="F59" s="522"/>
      <c r="G59" s="522"/>
      <c r="H59" s="260"/>
      <c r="I59" s="521"/>
      <c r="J59" s="521"/>
      <c r="K59" s="520"/>
      <c r="L59" s="520"/>
      <c r="M59" s="263"/>
      <c r="N59" s="263"/>
      <c r="O59" s="264"/>
      <c r="P59" s="265"/>
      <c r="R59" s="509"/>
    </row>
    <row r="60" spans="1:18" ht="19.5" x14ac:dyDescent="0.2">
      <c r="A60" s="517">
        <v>5</v>
      </c>
      <c r="B60" s="517">
        <v>867001</v>
      </c>
      <c r="C60" s="517" t="s">
        <v>231</v>
      </c>
      <c r="D60" s="519">
        <v>3</v>
      </c>
      <c r="E60" s="519"/>
      <c r="F60" s="517"/>
      <c r="G60" s="517"/>
      <c r="H60" s="257"/>
      <c r="I60" s="519"/>
      <c r="J60" s="519"/>
      <c r="K60" s="519">
        <v>1</v>
      </c>
      <c r="L60" s="519">
        <v>60</v>
      </c>
      <c r="M60" s="257">
        <v>11006</v>
      </c>
      <c r="N60" s="257" t="s">
        <v>346</v>
      </c>
      <c r="O60" s="258" t="s">
        <v>186</v>
      </c>
      <c r="P60" s="259">
        <v>45</v>
      </c>
      <c r="R60" s="509"/>
    </row>
    <row r="61" spans="1:18" ht="19.5" x14ac:dyDescent="0.2">
      <c r="A61" s="518"/>
      <c r="B61" s="518"/>
      <c r="C61" s="518"/>
      <c r="D61" s="520"/>
      <c r="E61" s="521"/>
      <c r="F61" s="522"/>
      <c r="G61" s="522"/>
      <c r="H61" s="260"/>
      <c r="I61" s="521"/>
      <c r="J61" s="521"/>
      <c r="K61" s="520"/>
      <c r="L61" s="520"/>
      <c r="M61" s="263"/>
      <c r="N61" s="263"/>
      <c r="O61" s="264"/>
      <c r="P61" s="265"/>
      <c r="R61" s="509"/>
    </row>
    <row r="62" spans="1:18" ht="19.5" x14ac:dyDescent="0.2">
      <c r="A62" s="517">
        <v>6</v>
      </c>
      <c r="B62" s="517">
        <v>867001</v>
      </c>
      <c r="C62" s="517" t="s">
        <v>231</v>
      </c>
      <c r="D62" s="519">
        <v>3</v>
      </c>
      <c r="E62" s="519"/>
      <c r="F62" s="517"/>
      <c r="G62" s="517"/>
      <c r="H62" s="257"/>
      <c r="I62" s="519"/>
      <c r="J62" s="519"/>
      <c r="K62" s="519">
        <v>1</v>
      </c>
      <c r="L62" s="519">
        <v>60</v>
      </c>
      <c r="M62" s="257">
        <v>10985</v>
      </c>
      <c r="N62" s="257" t="s">
        <v>359</v>
      </c>
      <c r="O62" s="258" t="s">
        <v>155</v>
      </c>
      <c r="P62" s="259">
        <v>45</v>
      </c>
      <c r="R62" s="509"/>
    </row>
    <row r="63" spans="1:18" ht="19.5" x14ac:dyDescent="0.2">
      <c r="A63" s="518"/>
      <c r="B63" s="518"/>
      <c r="C63" s="518"/>
      <c r="D63" s="520"/>
      <c r="E63" s="521"/>
      <c r="F63" s="522"/>
      <c r="G63" s="522"/>
      <c r="H63" s="263"/>
      <c r="I63" s="521"/>
      <c r="J63" s="521"/>
      <c r="K63" s="520"/>
      <c r="L63" s="520"/>
      <c r="M63" s="263"/>
      <c r="N63" s="263"/>
      <c r="O63" s="264"/>
      <c r="P63" s="265"/>
      <c r="R63" s="509"/>
    </row>
    <row r="64" spans="1:18" ht="19.5" x14ac:dyDescent="0.2">
      <c r="A64" s="517">
        <v>7</v>
      </c>
      <c r="B64" s="517">
        <v>867001</v>
      </c>
      <c r="C64" s="517" t="s">
        <v>231</v>
      </c>
      <c r="D64" s="519">
        <v>3</v>
      </c>
      <c r="E64" s="519"/>
      <c r="F64" s="517"/>
      <c r="G64" s="517"/>
      <c r="H64" s="257"/>
      <c r="I64" s="519"/>
      <c r="J64" s="519"/>
      <c r="K64" s="519">
        <v>1</v>
      </c>
      <c r="L64" s="519">
        <v>60</v>
      </c>
      <c r="M64" s="257">
        <v>10985</v>
      </c>
      <c r="N64" s="257" t="s">
        <v>359</v>
      </c>
      <c r="O64" s="258" t="s">
        <v>155</v>
      </c>
      <c r="P64" s="259">
        <v>45</v>
      </c>
      <c r="R64" s="509"/>
    </row>
    <row r="65" spans="1:18" ht="19.5" x14ac:dyDescent="0.2">
      <c r="A65" s="518"/>
      <c r="B65" s="518"/>
      <c r="C65" s="518"/>
      <c r="D65" s="520"/>
      <c r="E65" s="521"/>
      <c r="F65" s="522"/>
      <c r="G65" s="522"/>
      <c r="H65" s="263"/>
      <c r="I65" s="521"/>
      <c r="J65" s="521"/>
      <c r="K65" s="520"/>
      <c r="L65" s="520"/>
      <c r="M65" s="263"/>
      <c r="N65" s="263"/>
      <c r="O65" s="264"/>
      <c r="P65" s="265"/>
      <c r="R65" s="509"/>
    </row>
    <row r="66" spans="1:18" ht="39" x14ac:dyDescent="0.2">
      <c r="A66" s="417">
        <v>1</v>
      </c>
      <c r="B66" s="417">
        <v>867006</v>
      </c>
      <c r="C66" s="417" t="s">
        <v>232</v>
      </c>
      <c r="D66" s="411">
        <v>2</v>
      </c>
      <c r="E66" s="474"/>
      <c r="F66" s="472"/>
      <c r="G66" s="472"/>
      <c r="H66" s="75"/>
      <c r="I66" s="474"/>
      <c r="J66" s="474"/>
      <c r="K66" s="411">
        <v>1</v>
      </c>
      <c r="L66" s="411">
        <v>60</v>
      </c>
      <c r="M66" s="75">
        <v>10134</v>
      </c>
      <c r="N66" s="75" t="s">
        <v>359</v>
      </c>
      <c r="O66" s="184" t="s">
        <v>203</v>
      </c>
      <c r="P66" s="117">
        <v>30</v>
      </c>
    </row>
    <row r="67" spans="1:18" ht="19.5" x14ac:dyDescent="0.2">
      <c r="A67" s="418"/>
      <c r="B67" s="419"/>
      <c r="C67" s="419"/>
      <c r="D67" s="412"/>
      <c r="E67" s="475"/>
      <c r="F67" s="473"/>
      <c r="G67" s="473"/>
      <c r="H67" s="76"/>
      <c r="I67" s="475"/>
      <c r="J67" s="475"/>
      <c r="K67" s="412"/>
      <c r="L67" s="412"/>
      <c r="M67" s="76"/>
      <c r="N67" s="76"/>
      <c r="O67" s="185"/>
      <c r="P67" s="120"/>
    </row>
    <row r="68" spans="1:18" ht="39" x14ac:dyDescent="0.2">
      <c r="A68" s="417">
        <v>2</v>
      </c>
      <c r="B68" s="417">
        <v>867006</v>
      </c>
      <c r="C68" s="417" t="s">
        <v>232</v>
      </c>
      <c r="D68" s="411">
        <v>2</v>
      </c>
      <c r="E68" s="474"/>
      <c r="F68" s="472"/>
      <c r="G68" s="472"/>
      <c r="H68" s="75"/>
      <c r="I68" s="474"/>
      <c r="J68" s="474"/>
      <c r="K68" s="411">
        <v>1</v>
      </c>
      <c r="L68" s="411">
        <v>60</v>
      </c>
      <c r="M68" s="75">
        <v>10134</v>
      </c>
      <c r="N68" s="75" t="s">
        <v>359</v>
      </c>
      <c r="O68" s="184" t="s">
        <v>203</v>
      </c>
      <c r="P68" s="117">
        <v>30</v>
      </c>
    </row>
    <row r="69" spans="1:18" ht="19.5" x14ac:dyDescent="0.2">
      <c r="A69" s="418"/>
      <c r="B69" s="419"/>
      <c r="C69" s="419"/>
      <c r="D69" s="412"/>
      <c r="E69" s="475"/>
      <c r="F69" s="473"/>
      <c r="G69" s="473"/>
      <c r="H69" s="76"/>
      <c r="I69" s="475"/>
      <c r="J69" s="475"/>
      <c r="K69" s="412"/>
      <c r="L69" s="412"/>
      <c r="M69" s="76"/>
      <c r="N69" s="76"/>
      <c r="O69" s="185"/>
      <c r="P69" s="120"/>
    </row>
    <row r="70" spans="1:18" ht="19.5" x14ac:dyDescent="0.2">
      <c r="A70" s="417">
        <v>3</v>
      </c>
      <c r="B70" s="417">
        <v>867006</v>
      </c>
      <c r="C70" s="417" t="s">
        <v>232</v>
      </c>
      <c r="D70" s="411">
        <v>2</v>
      </c>
      <c r="E70" s="474"/>
      <c r="F70" s="472"/>
      <c r="G70" s="472"/>
      <c r="H70" s="75"/>
      <c r="I70" s="474"/>
      <c r="J70" s="474"/>
      <c r="K70" s="411">
        <v>1</v>
      </c>
      <c r="L70" s="411">
        <v>60</v>
      </c>
      <c r="M70" s="75">
        <v>10144</v>
      </c>
      <c r="N70" s="75" t="s">
        <v>346</v>
      </c>
      <c r="O70" s="184" t="s">
        <v>211</v>
      </c>
      <c r="P70" s="117">
        <v>30</v>
      </c>
    </row>
    <row r="71" spans="1:18" ht="19.5" x14ac:dyDescent="0.2">
      <c r="A71" s="418"/>
      <c r="B71" s="419"/>
      <c r="C71" s="419"/>
      <c r="D71" s="412"/>
      <c r="E71" s="475"/>
      <c r="F71" s="473"/>
      <c r="G71" s="473"/>
      <c r="H71" s="76"/>
      <c r="I71" s="475"/>
      <c r="J71" s="475"/>
      <c r="K71" s="412"/>
      <c r="L71" s="412"/>
      <c r="M71" s="76"/>
      <c r="N71" s="76"/>
      <c r="O71" s="185"/>
      <c r="P71" s="120"/>
    </row>
    <row r="72" spans="1:18" ht="19.5" x14ac:dyDescent="0.2">
      <c r="A72" s="417">
        <v>4</v>
      </c>
      <c r="B72" s="417">
        <v>867006</v>
      </c>
      <c r="C72" s="417" t="s">
        <v>232</v>
      </c>
      <c r="D72" s="411">
        <v>2</v>
      </c>
      <c r="E72" s="474"/>
      <c r="F72" s="472"/>
      <c r="G72" s="472"/>
      <c r="H72" s="75"/>
      <c r="I72" s="474"/>
      <c r="J72" s="474"/>
      <c r="K72" s="411">
        <v>1</v>
      </c>
      <c r="L72" s="411">
        <v>60</v>
      </c>
      <c r="M72" s="75">
        <v>10144</v>
      </c>
      <c r="N72" s="75" t="s">
        <v>346</v>
      </c>
      <c r="O72" s="184" t="s">
        <v>211</v>
      </c>
      <c r="P72" s="117">
        <v>30</v>
      </c>
    </row>
    <row r="73" spans="1:18" ht="19.5" x14ac:dyDescent="0.2">
      <c r="A73" s="418"/>
      <c r="B73" s="419"/>
      <c r="C73" s="419"/>
      <c r="D73" s="412"/>
      <c r="E73" s="475"/>
      <c r="F73" s="473"/>
      <c r="G73" s="473"/>
      <c r="H73" s="76"/>
      <c r="I73" s="475"/>
      <c r="J73" s="475"/>
      <c r="K73" s="412"/>
      <c r="L73" s="412"/>
      <c r="M73" s="76"/>
      <c r="N73" s="76"/>
      <c r="O73" s="185"/>
      <c r="P73" s="120"/>
    </row>
    <row r="74" spans="1:18" ht="19.5" x14ac:dyDescent="0.2">
      <c r="A74" s="417">
        <v>5</v>
      </c>
      <c r="B74" s="417">
        <v>867006</v>
      </c>
      <c r="C74" s="417" t="s">
        <v>232</v>
      </c>
      <c r="D74" s="411">
        <v>2</v>
      </c>
      <c r="E74" s="474"/>
      <c r="F74" s="472"/>
      <c r="G74" s="472"/>
      <c r="H74" s="75"/>
      <c r="I74" s="474"/>
      <c r="J74" s="474"/>
      <c r="K74" s="411">
        <v>1</v>
      </c>
      <c r="L74" s="411">
        <v>60</v>
      </c>
      <c r="M74" s="75">
        <v>10145</v>
      </c>
      <c r="N74" s="75" t="s">
        <v>346</v>
      </c>
      <c r="O74" s="280" t="s">
        <v>147</v>
      </c>
      <c r="P74" s="117">
        <v>30</v>
      </c>
    </row>
    <row r="75" spans="1:18" ht="19.5" x14ac:dyDescent="0.2">
      <c r="A75" s="418"/>
      <c r="B75" s="419"/>
      <c r="C75" s="419"/>
      <c r="D75" s="412"/>
      <c r="E75" s="475"/>
      <c r="F75" s="473"/>
      <c r="G75" s="473"/>
      <c r="H75" s="76"/>
      <c r="I75" s="475"/>
      <c r="J75" s="475"/>
      <c r="K75" s="412"/>
      <c r="L75" s="412"/>
      <c r="M75" s="76"/>
      <c r="N75" s="76"/>
      <c r="O75" s="185"/>
      <c r="P75" s="120"/>
    </row>
    <row r="76" spans="1:18" ht="19.5" x14ac:dyDescent="0.2">
      <c r="A76" s="417">
        <v>6</v>
      </c>
      <c r="B76" s="417">
        <v>867006</v>
      </c>
      <c r="C76" s="417" t="s">
        <v>232</v>
      </c>
      <c r="D76" s="411">
        <v>2</v>
      </c>
      <c r="E76" s="474"/>
      <c r="F76" s="472"/>
      <c r="G76" s="472"/>
      <c r="H76" s="75"/>
      <c r="I76" s="474"/>
      <c r="J76" s="474"/>
      <c r="K76" s="411">
        <v>1</v>
      </c>
      <c r="L76" s="411">
        <v>60</v>
      </c>
      <c r="M76" s="75">
        <v>10145</v>
      </c>
      <c r="N76" s="75" t="s">
        <v>346</v>
      </c>
      <c r="O76" s="280" t="s">
        <v>147</v>
      </c>
      <c r="P76" s="117">
        <v>30</v>
      </c>
    </row>
    <row r="77" spans="1:18" ht="19.5" x14ac:dyDescent="0.2">
      <c r="A77" s="418"/>
      <c r="B77" s="419"/>
      <c r="C77" s="419"/>
      <c r="D77" s="412"/>
      <c r="E77" s="475"/>
      <c r="F77" s="473"/>
      <c r="G77" s="473"/>
      <c r="H77" s="76"/>
      <c r="I77" s="475"/>
      <c r="J77" s="475"/>
      <c r="K77" s="412"/>
      <c r="L77" s="412"/>
      <c r="M77" s="76"/>
      <c r="N77" s="76"/>
      <c r="O77" s="185"/>
      <c r="P77" s="120"/>
    </row>
    <row r="78" spans="1:18" ht="19.5" x14ac:dyDescent="0.2">
      <c r="A78" s="417">
        <v>7</v>
      </c>
      <c r="B78" s="417">
        <v>867006</v>
      </c>
      <c r="C78" s="417" t="s">
        <v>232</v>
      </c>
      <c r="D78" s="411">
        <v>2</v>
      </c>
      <c r="E78" s="474"/>
      <c r="F78" s="472"/>
      <c r="G78" s="472"/>
      <c r="H78" s="75"/>
      <c r="I78" s="474"/>
      <c r="J78" s="474"/>
      <c r="K78" s="411">
        <v>1</v>
      </c>
      <c r="L78" s="411">
        <v>60</v>
      </c>
      <c r="M78" s="75">
        <v>10145</v>
      </c>
      <c r="N78" s="75" t="s">
        <v>346</v>
      </c>
      <c r="O78" s="280" t="s">
        <v>147</v>
      </c>
      <c r="P78" s="117">
        <v>30</v>
      </c>
    </row>
    <row r="79" spans="1:18" ht="19.5" x14ac:dyDescent="0.2">
      <c r="A79" s="418"/>
      <c r="B79" s="419"/>
      <c r="C79" s="419"/>
      <c r="D79" s="412"/>
      <c r="E79" s="475"/>
      <c r="F79" s="473"/>
      <c r="G79" s="473"/>
      <c r="H79" s="76"/>
      <c r="I79" s="475"/>
      <c r="J79" s="475"/>
      <c r="K79" s="412"/>
      <c r="L79" s="412"/>
      <c r="M79" s="76"/>
      <c r="N79" s="76"/>
      <c r="O79" s="185"/>
      <c r="P79" s="120"/>
    </row>
    <row r="80" spans="1:18" ht="19.5" x14ac:dyDescent="0.2">
      <c r="A80" s="417">
        <v>1</v>
      </c>
      <c r="B80" s="417">
        <v>864005</v>
      </c>
      <c r="C80" s="417" t="s">
        <v>233</v>
      </c>
      <c r="D80" s="411">
        <v>3</v>
      </c>
      <c r="E80" s="474"/>
      <c r="F80" s="472"/>
      <c r="G80" s="472"/>
      <c r="H80" s="75"/>
      <c r="I80" s="474"/>
      <c r="J80" s="474"/>
      <c r="K80" s="411">
        <v>1</v>
      </c>
      <c r="L80" s="411">
        <v>60</v>
      </c>
      <c r="M80" s="75">
        <v>11202</v>
      </c>
      <c r="N80" s="75" t="s">
        <v>359</v>
      </c>
      <c r="O80" s="280" t="s">
        <v>148</v>
      </c>
      <c r="P80" s="117">
        <v>45</v>
      </c>
    </row>
    <row r="81" spans="1:18" ht="19.5" x14ac:dyDescent="0.2">
      <c r="A81" s="418"/>
      <c r="B81" s="419"/>
      <c r="C81" s="419"/>
      <c r="D81" s="412"/>
      <c r="E81" s="475"/>
      <c r="F81" s="473"/>
      <c r="G81" s="473"/>
      <c r="H81" s="76"/>
      <c r="I81" s="475"/>
      <c r="J81" s="475"/>
      <c r="K81" s="412"/>
      <c r="L81" s="412"/>
      <c r="M81" s="76"/>
      <c r="N81" s="76"/>
      <c r="O81" s="185"/>
      <c r="P81" s="120"/>
    </row>
    <row r="82" spans="1:18" ht="19.5" x14ac:dyDescent="0.2">
      <c r="A82" s="417">
        <v>2</v>
      </c>
      <c r="B82" s="417">
        <v>864005</v>
      </c>
      <c r="C82" s="417" t="s">
        <v>233</v>
      </c>
      <c r="D82" s="411">
        <v>3</v>
      </c>
      <c r="E82" s="474"/>
      <c r="F82" s="472"/>
      <c r="G82" s="472"/>
      <c r="H82" s="75"/>
      <c r="I82" s="474"/>
      <c r="J82" s="474"/>
      <c r="K82" s="411">
        <v>1</v>
      </c>
      <c r="L82" s="411">
        <v>60</v>
      </c>
      <c r="M82" s="75">
        <v>11489</v>
      </c>
      <c r="N82" s="75" t="s">
        <v>359</v>
      </c>
      <c r="O82" s="184" t="s">
        <v>241</v>
      </c>
      <c r="P82" s="117">
        <v>45</v>
      </c>
    </row>
    <row r="83" spans="1:18" ht="19.5" x14ac:dyDescent="0.2">
      <c r="A83" s="418"/>
      <c r="B83" s="419"/>
      <c r="C83" s="419"/>
      <c r="D83" s="412"/>
      <c r="E83" s="475"/>
      <c r="F83" s="473"/>
      <c r="G83" s="473"/>
      <c r="H83" s="76"/>
      <c r="I83" s="475"/>
      <c r="J83" s="475"/>
      <c r="K83" s="412"/>
      <c r="L83" s="412"/>
      <c r="M83" s="76"/>
      <c r="N83" s="76"/>
      <c r="O83" s="185"/>
      <c r="P83" s="120"/>
    </row>
    <row r="84" spans="1:18" ht="19.5" x14ac:dyDescent="0.2">
      <c r="A84" s="417">
        <v>3</v>
      </c>
      <c r="B84" s="417">
        <v>864005</v>
      </c>
      <c r="C84" s="417" t="s">
        <v>233</v>
      </c>
      <c r="D84" s="411">
        <v>3</v>
      </c>
      <c r="E84" s="474"/>
      <c r="F84" s="472"/>
      <c r="G84" s="472"/>
      <c r="H84" s="75"/>
      <c r="I84" s="474"/>
      <c r="J84" s="474"/>
      <c r="K84" s="411">
        <v>1</v>
      </c>
      <c r="L84" s="411">
        <v>60</v>
      </c>
      <c r="M84" s="75">
        <v>11489</v>
      </c>
      <c r="N84" s="75" t="s">
        <v>359</v>
      </c>
      <c r="O84" s="184" t="s">
        <v>241</v>
      </c>
      <c r="P84" s="117">
        <v>45</v>
      </c>
    </row>
    <row r="85" spans="1:18" ht="19.5" x14ac:dyDescent="0.2">
      <c r="A85" s="418"/>
      <c r="B85" s="419"/>
      <c r="C85" s="419"/>
      <c r="D85" s="412"/>
      <c r="E85" s="475"/>
      <c r="F85" s="473"/>
      <c r="G85" s="473"/>
      <c r="H85" s="76"/>
      <c r="I85" s="475"/>
      <c r="J85" s="475"/>
      <c r="K85" s="412"/>
      <c r="L85" s="412"/>
      <c r="M85" s="76"/>
      <c r="N85" s="76"/>
      <c r="O85" s="185"/>
      <c r="P85" s="120"/>
    </row>
    <row r="86" spans="1:18" ht="19.5" x14ac:dyDescent="0.2">
      <c r="A86" s="417">
        <v>4</v>
      </c>
      <c r="B86" s="417">
        <v>864005</v>
      </c>
      <c r="C86" s="417" t="s">
        <v>233</v>
      </c>
      <c r="D86" s="411">
        <v>3</v>
      </c>
      <c r="E86" s="474"/>
      <c r="F86" s="472"/>
      <c r="G86" s="472"/>
      <c r="H86" s="75"/>
      <c r="I86" s="474"/>
      <c r="J86" s="474"/>
      <c r="K86" s="411">
        <v>1</v>
      </c>
      <c r="L86" s="411">
        <v>60</v>
      </c>
      <c r="M86" s="75">
        <v>11489</v>
      </c>
      <c r="N86" s="75" t="s">
        <v>359</v>
      </c>
      <c r="O86" s="184" t="s">
        <v>241</v>
      </c>
      <c r="P86" s="117">
        <v>45</v>
      </c>
    </row>
    <row r="87" spans="1:18" ht="19.5" x14ac:dyDescent="0.2">
      <c r="A87" s="418"/>
      <c r="B87" s="419"/>
      <c r="C87" s="419"/>
      <c r="D87" s="412"/>
      <c r="E87" s="475"/>
      <c r="F87" s="473"/>
      <c r="G87" s="473"/>
      <c r="H87" s="76"/>
      <c r="I87" s="475"/>
      <c r="J87" s="475"/>
      <c r="K87" s="412"/>
      <c r="L87" s="412"/>
      <c r="M87" s="76"/>
      <c r="N87" s="76"/>
      <c r="O87" s="185"/>
      <c r="P87" s="120"/>
    </row>
    <row r="88" spans="1:18" ht="19.5" x14ac:dyDescent="0.2">
      <c r="A88" s="417">
        <v>5</v>
      </c>
      <c r="B88" s="417">
        <v>864005</v>
      </c>
      <c r="C88" s="417" t="s">
        <v>233</v>
      </c>
      <c r="D88" s="411">
        <v>3</v>
      </c>
      <c r="E88" s="474"/>
      <c r="F88" s="472"/>
      <c r="G88" s="472"/>
      <c r="H88" s="75"/>
      <c r="I88" s="474"/>
      <c r="J88" s="474"/>
      <c r="K88" s="411">
        <v>1</v>
      </c>
      <c r="L88" s="411">
        <v>60</v>
      </c>
      <c r="M88" s="75">
        <v>11489</v>
      </c>
      <c r="N88" s="75" t="s">
        <v>359</v>
      </c>
      <c r="O88" s="184" t="s">
        <v>241</v>
      </c>
      <c r="P88" s="117">
        <v>45</v>
      </c>
    </row>
    <row r="89" spans="1:18" ht="19.5" x14ac:dyDescent="0.2">
      <c r="A89" s="418"/>
      <c r="B89" s="419"/>
      <c r="C89" s="419"/>
      <c r="D89" s="412"/>
      <c r="E89" s="475"/>
      <c r="F89" s="473"/>
      <c r="G89" s="473"/>
      <c r="H89" s="76"/>
      <c r="I89" s="475"/>
      <c r="J89" s="475"/>
      <c r="K89" s="412"/>
      <c r="L89" s="412"/>
      <c r="M89" s="76"/>
      <c r="N89" s="76"/>
      <c r="O89" s="185"/>
      <c r="P89" s="120"/>
    </row>
    <row r="90" spans="1:18" ht="39" x14ac:dyDescent="0.2">
      <c r="A90" s="417">
        <v>1</v>
      </c>
      <c r="B90" s="417">
        <v>864006</v>
      </c>
      <c r="C90" s="417" t="s">
        <v>234</v>
      </c>
      <c r="D90" s="411">
        <v>3</v>
      </c>
      <c r="E90" s="474"/>
      <c r="F90" s="472"/>
      <c r="G90" s="472"/>
      <c r="H90" s="75"/>
      <c r="I90" s="474"/>
      <c r="J90" s="474"/>
      <c r="K90" s="411">
        <v>1</v>
      </c>
      <c r="L90" s="411">
        <v>60</v>
      </c>
      <c r="M90" s="75">
        <v>10873</v>
      </c>
      <c r="N90" s="75" t="s">
        <v>360</v>
      </c>
      <c r="O90" s="280" t="s">
        <v>189</v>
      </c>
      <c r="P90" s="117">
        <v>45</v>
      </c>
    </row>
    <row r="91" spans="1:18" ht="21.75" customHeight="1" x14ac:dyDescent="0.2">
      <c r="A91" s="418"/>
      <c r="B91" s="419"/>
      <c r="C91" s="419"/>
      <c r="D91" s="412"/>
      <c r="E91" s="475"/>
      <c r="F91" s="473"/>
      <c r="G91" s="473"/>
      <c r="H91" s="76"/>
      <c r="I91" s="475"/>
      <c r="J91" s="475"/>
      <c r="K91" s="412"/>
      <c r="L91" s="412"/>
      <c r="M91" s="76"/>
      <c r="N91" s="76"/>
      <c r="O91" s="185"/>
      <c r="P91" s="120"/>
    </row>
    <row r="92" spans="1:18" ht="39" x14ac:dyDescent="0.2">
      <c r="A92" s="417">
        <v>2</v>
      </c>
      <c r="B92" s="417">
        <v>864006</v>
      </c>
      <c r="C92" s="417" t="s">
        <v>234</v>
      </c>
      <c r="D92" s="411">
        <v>3</v>
      </c>
      <c r="E92" s="474"/>
      <c r="F92" s="472"/>
      <c r="G92" s="472"/>
      <c r="H92" s="75"/>
      <c r="I92" s="474"/>
      <c r="J92" s="474"/>
      <c r="K92" s="411">
        <v>1</v>
      </c>
      <c r="L92" s="411">
        <v>60</v>
      </c>
      <c r="M92" s="75">
        <v>10873</v>
      </c>
      <c r="N92" s="75" t="s">
        <v>360</v>
      </c>
      <c r="O92" s="280" t="s">
        <v>189</v>
      </c>
      <c r="P92" s="117">
        <v>45</v>
      </c>
    </row>
    <row r="93" spans="1:18" ht="21.75" customHeight="1" x14ac:dyDescent="0.2">
      <c r="A93" s="418"/>
      <c r="B93" s="419"/>
      <c r="C93" s="419"/>
      <c r="D93" s="412"/>
      <c r="E93" s="475"/>
      <c r="F93" s="473"/>
      <c r="G93" s="473"/>
      <c r="H93" s="76"/>
      <c r="I93" s="475"/>
      <c r="J93" s="475"/>
      <c r="K93" s="412"/>
      <c r="L93" s="412"/>
      <c r="M93" s="76"/>
      <c r="N93" s="76"/>
      <c r="O93" s="185"/>
      <c r="P93" s="120"/>
    </row>
    <row r="94" spans="1:18" ht="19.5" x14ac:dyDescent="0.2">
      <c r="A94" s="507">
        <v>1</v>
      </c>
      <c r="B94" s="507">
        <v>864007</v>
      </c>
      <c r="C94" s="507" t="s">
        <v>132</v>
      </c>
      <c r="D94" s="476">
        <v>3</v>
      </c>
      <c r="E94" s="476"/>
      <c r="F94" s="507"/>
      <c r="G94" s="507"/>
      <c r="H94" s="238"/>
      <c r="I94" s="476"/>
      <c r="J94" s="476"/>
      <c r="K94" s="476">
        <v>1</v>
      </c>
      <c r="L94" s="476">
        <v>60</v>
      </c>
      <c r="M94" s="238">
        <v>10986</v>
      </c>
      <c r="N94" s="238" t="s">
        <v>359</v>
      </c>
      <c r="O94" s="239" t="s">
        <v>180</v>
      </c>
      <c r="P94" s="117">
        <v>45</v>
      </c>
      <c r="R94" s="511" t="s">
        <v>308</v>
      </c>
    </row>
    <row r="95" spans="1:18" ht="21.75" customHeight="1" x14ac:dyDescent="0.2">
      <c r="A95" s="523"/>
      <c r="B95" s="508"/>
      <c r="C95" s="508"/>
      <c r="D95" s="477"/>
      <c r="E95" s="477"/>
      <c r="F95" s="508"/>
      <c r="G95" s="508"/>
      <c r="H95" s="241"/>
      <c r="I95" s="477"/>
      <c r="J95" s="477"/>
      <c r="K95" s="477"/>
      <c r="L95" s="477"/>
      <c r="M95" s="241"/>
      <c r="N95" s="241"/>
      <c r="O95" s="242"/>
      <c r="P95" s="243"/>
      <c r="R95" s="511"/>
    </row>
    <row r="96" spans="1:18" ht="19.5" x14ac:dyDescent="0.2">
      <c r="A96" s="507">
        <v>2</v>
      </c>
      <c r="B96" s="507">
        <v>864007</v>
      </c>
      <c r="C96" s="507" t="s">
        <v>132</v>
      </c>
      <c r="D96" s="476">
        <v>3</v>
      </c>
      <c r="E96" s="476"/>
      <c r="F96" s="507"/>
      <c r="G96" s="507"/>
      <c r="H96" s="238"/>
      <c r="I96" s="476"/>
      <c r="J96" s="476"/>
      <c r="K96" s="476">
        <v>1</v>
      </c>
      <c r="L96" s="476">
        <v>60</v>
      </c>
      <c r="M96" s="238">
        <v>11051</v>
      </c>
      <c r="N96" s="238" t="s">
        <v>359</v>
      </c>
      <c r="O96" s="239" t="s">
        <v>178</v>
      </c>
      <c r="P96" s="117">
        <v>45</v>
      </c>
      <c r="R96" s="511" t="s">
        <v>308</v>
      </c>
    </row>
    <row r="97" spans="1:18" ht="21.75" customHeight="1" x14ac:dyDescent="0.2">
      <c r="A97" s="523"/>
      <c r="B97" s="508"/>
      <c r="C97" s="508"/>
      <c r="D97" s="477"/>
      <c r="E97" s="477"/>
      <c r="F97" s="508"/>
      <c r="G97" s="508"/>
      <c r="H97" s="241"/>
      <c r="I97" s="477"/>
      <c r="J97" s="477"/>
      <c r="K97" s="477"/>
      <c r="L97" s="477"/>
      <c r="M97" s="241"/>
      <c r="N97" s="241"/>
      <c r="O97" s="242"/>
      <c r="P97" s="243"/>
      <c r="R97" s="511"/>
    </row>
    <row r="98" spans="1:18" ht="39" x14ac:dyDescent="0.2">
      <c r="A98" s="507">
        <v>3</v>
      </c>
      <c r="B98" s="507">
        <v>864007</v>
      </c>
      <c r="C98" s="507" t="s">
        <v>132</v>
      </c>
      <c r="D98" s="476">
        <v>3</v>
      </c>
      <c r="E98" s="476"/>
      <c r="F98" s="507"/>
      <c r="G98" s="507"/>
      <c r="H98" s="238"/>
      <c r="I98" s="476"/>
      <c r="J98" s="476"/>
      <c r="K98" s="476">
        <v>1</v>
      </c>
      <c r="L98" s="476">
        <v>60</v>
      </c>
      <c r="M98" s="238">
        <v>10134</v>
      </c>
      <c r="N98" s="238" t="s">
        <v>359</v>
      </c>
      <c r="O98" s="312" t="s">
        <v>203</v>
      </c>
      <c r="P98" s="117">
        <v>45</v>
      </c>
      <c r="R98" s="511" t="s">
        <v>308</v>
      </c>
    </row>
    <row r="99" spans="1:18" ht="21.75" customHeight="1" x14ac:dyDescent="0.2">
      <c r="A99" s="523"/>
      <c r="B99" s="508"/>
      <c r="C99" s="508"/>
      <c r="D99" s="477"/>
      <c r="E99" s="477"/>
      <c r="F99" s="508"/>
      <c r="G99" s="508"/>
      <c r="H99" s="241"/>
      <c r="I99" s="477"/>
      <c r="J99" s="477"/>
      <c r="K99" s="477"/>
      <c r="L99" s="477"/>
      <c r="M99" s="241"/>
      <c r="N99" s="241"/>
      <c r="O99" s="242"/>
      <c r="P99" s="243"/>
      <c r="R99" s="511"/>
    </row>
    <row r="100" spans="1:18" ht="19.5" x14ac:dyDescent="0.2">
      <c r="A100" s="507">
        <v>4</v>
      </c>
      <c r="B100" s="507">
        <v>864007</v>
      </c>
      <c r="C100" s="507" t="s">
        <v>132</v>
      </c>
      <c r="D100" s="476">
        <v>3</v>
      </c>
      <c r="E100" s="476"/>
      <c r="F100" s="507"/>
      <c r="G100" s="507"/>
      <c r="H100" s="238"/>
      <c r="I100" s="476"/>
      <c r="J100" s="476"/>
      <c r="K100" s="476">
        <v>1</v>
      </c>
      <c r="L100" s="476">
        <v>60</v>
      </c>
      <c r="M100" s="238">
        <v>10144</v>
      </c>
      <c r="N100" s="238" t="s">
        <v>346</v>
      </c>
      <c r="O100" s="239" t="s">
        <v>211</v>
      </c>
      <c r="P100" s="117">
        <v>45</v>
      </c>
      <c r="R100" s="511" t="s">
        <v>308</v>
      </c>
    </row>
    <row r="101" spans="1:18" ht="21.75" customHeight="1" x14ac:dyDescent="0.2">
      <c r="A101" s="523"/>
      <c r="B101" s="508"/>
      <c r="C101" s="508"/>
      <c r="D101" s="477"/>
      <c r="E101" s="477"/>
      <c r="F101" s="508"/>
      <c r="G101" s="508"/>
      <c r="H101" s="241"/>
      <c r="I101" s="477"/>
      <c r="J101" s="477"/>
      <c r="K101" s="477"/>
      <c r="L101" s="477"/>
      <c r="M101" s="241"/>
      <c r="N101" s="241"/>
      <c r="O101" s="242"/>
      <c r="P101" s="243"/>
      <c r="R101" s="511"/>
    </row>
    <row r="102" spans="1:18" ht="19.5" x14ac:dyDescent="0.2">
      <c r="A102" s="417">
        <v>1</v>
      </c>
      <c r="B102" s="417">
        <v>867007</v>
      </c>
      <c r="C102" s="417" t="s">
        <v>235</v>
      </c>
      <c r="D102" s="411">
        <v>3</v>
      </c>
      <c r="E102" s="474"/>
      <c r="F102" s="472"/>
      <c r="G102" s="472"/>
      <c r="H102" s="75"/>
      <c r="I102" s="474"/>
      <c r="J102" s="474"/>
      <c r="K102" s="411">
        <v>1</v>
      </c>
      <c r="L102" s="411">
        <v>60</v>
      </c>
      <c r="M102" s="75">
        <v>10135</v>
      </c>
      <c r="N102" s="75" t="s">
        <v>359</v>
      </c>
      <c r="O102" s="280" t="s">
        <v>205</v>
      </c>
      <c r="P102" s="117">
        <v>45</v>
      </c>
    </row>
    <row r="103" spans="1:18" ht="21.75" customHeight="1" x14ac:dyDescent="0.2">
      <c r="A103" s="418"/>
      <c r="B103" s="419"/>
      <c r="C103" s="419"/>
      <c r="D103" s="412"/>
      <c r="E103" s="475"/>
      <c r="F103" s="473"/>
      <c r="G103" s="473"/>
      <c r="H103" s="76"/>
      <c r="I103" s="475"/>
      <c r="J103" s="475"/>
      <c r="K103" s="412"/>
      <c r="L103" s="412"/>
      <c r="M103" s="76"/>
      <c r="N103" s="76"/>
      <c r="O103" s="185"/>
      <c r="P103" s="120"/>
    </row>
    <row r="104" spans="1:18" ht="19.5" x14ac:dyDescent="0.2">
      <c r="A104" s="417">
        <v>2</v>
      </c>
      <c r="B104" s="417">
        <v>867007</v>
      </c>
      <c r="C104" s="417" t="s">
        <v>235</v>
      </c>
      <c r="D104" s="411">
        <v>3</v>
      </c>
      <c r="E104" s="474"/>
      <c r="F104" s="472"/>
      <c r="G104" s="472"/>
      <c r="H104" s="75"/>
      <c r="I104" s="474"/>
      <c r="J104" s="474"/>
      <c r="K104" s="411">
        <v>1</v>
      </c>
      <c r="L104" s="411">
        <v>60</v>
      </c>
      <c r="M104" s="75">
        <v>10135</v>
      </c>
      <c r="N104" s="75" t="s">
        <v>359</v>
      </c>
      <c r="O104" s="280" t="s">
        <v>205</v>
      </c>
      <c r="P104" s="117">
        <v>45</v>
      </c>
    </row>
    <row r="105" spans="1:18" ht="21.75" customHeight="1" x14ac:dyDescent="0.2">
      <c r="A105" s="418"/>
      <c r="B105" s="419"/>
      <c r="C105" s="419"/>
      <c r="D105" s="412"/>
      <c r="E105" s="475"/>
      <c r="F105" s="473"/>
      <c r="G105" s="473"/>
      <c r="H105" s="76"/>
      <c r="I105" s="475"/>
      <c r="J105" s="475"/>
      <c r="K105" s="412"/>
      <c r="L105" s="412"/>
      <c r="M105" s="76"/>
      <c r="N105" s="76"/>
      <c r="O105" s="185"/>
      <c r="P105" s="120"/>
    </row>
    <row r="106" spans="1:18" ht="19.5" x14ac:dyDescent="0.2">
      <c r="A106" s="417">
        <v>3</v>
      </c>
      <c r="B106" s="417">
        <v>867007</v>
      </c>
      <c r="C106" s="417" t="s">
        <v>235</v>
      </c>
      <c r="D106" s="411">
        <v>3</v>
      </c>
      <c r="E106" s="474"/>
      <c r="F106" s="472"/>
      <c r="G106" s="472"/>
      <c r="H106" s="75"/>
      <c r="I106" s="474"/>
      <c r="J106" s="474"/>
      <c r="K106" s="411">
        <v>1</v>
      </c>
      <c r="L106" s="411">
        <v>60</v>
      </c>
      <c r="M106" s="75">
        <v>10510</v>
      </c>
      <c r="N106" s="75" t="s">
        <v>359</v>
      </c>
      <c r="O106" s="280" t="s">
        <v>144</v>
      </c>
      <c r="P106" s="117">
        <v>45</v>
      </c>
    </row>
    <row r="107" spans="1:18" ht="21.75" customHeight="1" x14ac:dyDescent="0.2">
      <c r="A107" s="418"/>
      <c r="B107" s="419"/>
      <c r="C107" s="419"/>
      <c r="D107" s="412"/>
      <c r="E107" s="475"/>
      <c r="F107" s="473"/>
      <c r="G107" s="473"/>
      <c r="H107" s="76"/>
      <c r="I107" s="475"/>
      <c r="J107" s="475"/>
      <c r="K107" s="412"/>
      <c r="L107" s="412"/>
      <c r="M107" s="76"/>
      <c r="N107" s="76"/>
      <c r="O107" s="185"/>
      <c r="P107" s="120"/>
    </row>
    <row r="108" spans="1:18" ht="19.5" x14ac:dyDescent="0.2">
      <c r="A108" s="417">
        <v>4</v>
      </c>
      <c r="B108" s="417">
        <v>867007</v>
      </c>
      <c r="C108" s="417" t="s">
        <v>235</v>
      </c>
      <c r="D108" s="411">
        <v>3</v>
      </c>
      <c r="E108" s="474"/>
      <c r="F108" s="472"/>
      <c r="G108" s="472"/>
      <c r="H108" s="75"/>
      <c r="I108" s="474"/>
      <c r="J108" s="474"/>
      <c r="K108" s="411">
        <v>1</v>
      </c>
      <c r="L108" s="411">
        <v>60</v>
      </c>
      <c r="M108" s="75">
        <v>10510</v>
      </c>
      <c r="N108" s="75" t="s">
        <v>359</v>
      </c>
      <c r="O108" s="280" t="s">
        <v>144</v>
      </c>
      <c r="P108" s="117">
        <v>45</v>
      </c>
    </row>
    <row r="109" spans="1:18" ht="21.75" customHeight="1" x14ac:dyDescent="0.2">
      <c r="A109" s="418"/>
      <c r="B109" s="419"/>
      <c r="C109" s="419"/>
      <c r="D109" s="412"/>
      <c r="E109" s="475"/>
      <c r="F109" s="473"/>
      <c r="G109" s="473"/>
      <c r="H109" s="76"/>
      <c r="I109" s="475"/>
      <c r="J109" s="475"/>
      <c r="K109" s="412"/>
      <c r="L109" s="412"/>
      <c r="M109" s="76"/>
      <c r="N109" s="76"/>
      <c r="O109" s="185"/>
      <c r="P109" s="120"/>
    </row>
    <row r="110" spans="1:18" ht="19.5" x14ac:dyDescent="0.2">
      <c r="A110" s="417">
        <v>5</v>
      </c>
      <c r="B110" s="417">
        <v>867007</v>
      </c>
      <c r="C110" s="417" t="s">
        <v>235</v>
      </c>
      <c r="D110" s="411">
        <v>3</v>
      </c>
      <c r="E110" s="474"/>
      <c r="F110" s="472"/>
      <c r="G110" s="472"/>
      <c r="H110" s="75"/>
      <c r="I110" s="474"/>
      <c r="J110" s="474"/>
      <c r="K110" s="411">
        <v>1</v>
      </c>
      <c r="L110" s="411">
        <v>60</v>
      </c>
      <c r="M110" s="75">
        <v>11202</v>
      </c>
      <c r="N110" s="75" t="s">
        <v>359</v>
      </c>
      <c r="O110" s="280" t="s">
        <v>148</v>
      </c>
      <c r="P110" s="117">
        <v>45</v>
      </c>
    </row>
    <row r="111" spans="1:18" ht="21.75" customHeight="1" x14ac:dyDescent="0.2">
      <c r="A111" s="418"/>
      <c r="B111" s="419"/>
      <c r="C111" s="419"/>
      <c r="D111" s="412"/>
      <c r="E111" s="475"/>
      <c r="F111" s="473"/>
      <c r="G111" s="473"/>
      <c r="H111" s="76"/>
      <c r="I111" s="475"/>
      <c r="J111" s="475"/>
      <c r="K111" s="412"/>
      <c r="L111" s="412"/>
      <c r="M111" s="76"/>
      <c r="N111" s="76"/>
      <c r="O111" s="185"/>
      <c r="P111" s="120"/>
    </row>
    <row r="112" spans="1:18" ht="19.5" x14ac:dyDescent="0.2">
      <c r="A112" s="417">
        <v>6</v>
      </c>
      <c r="B112" s="417">
        <v>867007</v>
      </c>
      <c r="C112" s="417" t="s">
        <v>235</v>
      </c>
      <c r="D112" s="411">
        <v>3</v>
      </c>
      <c r="E112" s="474"/>
      <c r="F112" s="472"/>
      <c r="G112" s="472"/>
      <c r="H112" s="75"/>
      <c r="I112" s="474"/>
      <c r="J112" s="474"/>
      <c r="K112" s="411">
        <v>1</v>
      </c>
      <c r="L112" s="411">
        <v>60</v>
      </c>
      <c r="M112" s="75">
        <v>11202</v>
      </c>
      <c r="N112" s="75" t="s">
        <v>359</v>
      </c>
      <c r="O112" s="280" t="s">
        <v>148</v>
      </c>
      <c r="P112" s="117">
        <v>45</v>
      </c>
    </row>
    <row r="113" spans="1:16" ht="21.75" customHeight="1" x14ac:dyDescent="0.2">
      <c r="A113" s="418"/>
      <c r="B113" s="419"/>
      <c r="C113" s="419"/>
      <c r="D113" s="412"/>
      <c r="E113" s="475"/>
      <c r="F113" s="473"/>
      <c r="G113" s="473"/>
      <c r="H113" s="76"/>
      <c r="I113" s="475"/>
      <c r="J113" s="475"/>
      <c r="K113" s="412"/>
      <c r="L113" s="412"/>
      <c r="M113" s="76"/>
      <c r="N113" s="76"/>
      <c r="O113" s="185"/>
      <c r="P113" s="120"/>
    </row>
    <row r="114" spans="1:16" ht="39" x14ac:dyDescent="0.2">
      <c r="A114" s="417">
        <v>7</v>
      </c>
      <c r="B114" s="417">
        <v>867007</v>
      </c>
      <c r="C114" s="417" t="s">
        <v>235</v>
      </c>
      <c r="D114" s="411">
        <v>3</v>
      </c>
      <c r="E114" s="474"/>
      <c r="F114" s="472"/>
      <c r="G114" s="472"/>
      <c r="H114" s="75"/>
      <c r="I114" s="474"/>
      <c r="J114" s="474"/>
      <c r="K114" s="411">
        <v>1</v>
      </c>
      <c r="L114" s="411">
        <v>60</v>
      </c>
      <c r="M114" s="75">
        <v>10134</v>
      </c>
      <c r="N114" s="75" t="s">
        <v>359</v>
      </c>
      <c r="O114" s="280" t="s">
        <v>203</v>
      </c>
      <c r="P114" s="117">
        <v>45</v>
      </c>
    </row>
    <row r="115" spans="1:16" ht="21.75" customHeight="1" x14ac:dyDescent="0.2">
      <c r="A115" s="418"/>
      <c r="B115" s="419"/>
      <c r="C115" s="419"/>
      <c r="D115" s="412"/>
      <c r="E115" s="475"/>
      <c r="F115" s="473"/>
      <c r="G115" s="473"/>
      <c r="H115" s="76"/>
      <c r="I115" s="475"/>
      <c r="J115" s="475"/>
      <c r="K115" s="412"/>
      <c r="L115" s="412"/>
      <c r="M115" s="76"/>
      <c r="N115" s="76"/>
      <c r="O115" s="185"/>
      <c r="P115" s="120"/>
    </row>
    <row r="116" spans="1:16" ht="39" x14ac:dyDescent="0.2">
      <c r="A116" s="417">
        <v>8</v>
      </c>
      <c r="B116" s="417">
        <v>867007</v>
      </c>
      <c r="C116" s="417" t="s">
        <v>235</v>
      </c>
      <c r="D116" s="411">
        <v>3</v>
      </c>
      <c r="E116" s="474"/>
      <c r="F116" s="472"/>
      <c r="G116" s="472"/>
      <c r="H116" s="75"/>
      <c r="I116" s="474"/>
      <c r="J116" s="474"/>
      <c r="K116" s="411">
        <v>1</v>
      </c>
      <c r="L116" s="411">
        <v>60</v>
      </c>
      <c r="M116" s="75">
        <v>10134</v>
      </c>
      <c r="N116" s="75" t="s">
        <v>359</v>
      </c>
      <c r="O116" s="280" t="s">
        <v>203</v>
      </c>
      <c r="P116" s="117">
        <v>45</v>
      </c>
    </row>
    <row r="117" spans="1:16" ht="21.75" customHeight="1" x14ac:dyDescent="0.2">
      <c r="A117" s="418"/>
      <c r="B117" s="419"/>
      <c r="C117" s="419"/>
      <c r="D117" s="412"/>
      <c r="E117" s="475"/>
      <c r="F117" s="473"/>
      <c r="G117" s="473"/>
      <c r="H117" s="76"/>
      <c r="I117" s="475"/>
      <c r="J117" s="475"/>
      <c r="K117" s="412"/>
      <c r="L117" s="412"/>
      <c r="M117" s="76"/>
      <c r="N117" s="76"/>
      <c r="O117" s="185"/>
      <c r="P117" s="120"/>
    </row>
    <row r="118" spans="1:16" ht="19.5" x14ac:dyDescent="0.2">
      <c r="A118" s="417">
        <v>9</v>
      </c>
      <c r="B118" s="417">
        <v>867007</v>
      </c>
      <c r="C118" s="417" t="s">
        <v>235</v>
      </c>
      <c r="D118" s="411">
        <v>3</v>
      </c>
      <c r="E118" s="474"/>
      <c r="F118" s="472"/>
      <c r="G118" s="472"/>
      <c r="H118" s="75"/>
      <c r="I118" s="474"/>
      <c r="J118" s="474"/>
      <c r="K118" s="411">
        <v>1</v>
      </c>
      <c r="L118" s="411">
        <v>60</v>
      </c>
      <c r="M118" s="75">
        <v>10131</v>
      </c>
      <c r="N118" s="75" t="s">
        <v>346</v>
      </c>
      <c r="O118" s="280" t="s">
        <v>216</v>
      </c>
      <c r="P118" s="117">
        <v>45</v>
      </c>
    </row>
    <row r="119" spans="1:16" ht="21.75" customHeight="1" x14ac:dyDescent="0.2">
      <c r="A119" s="418"/>
      <c r="B119" s="419"/>
      <c r="C119" s="419"/>
      <c r="D119" s="412"/>
      <c r="E119" s="475"/>
      <c r="F119" s="473"/>
      <c r="G119" s="473"/>
      <c r="H119" s="76"/>
      <c r="I119" s="475"/>
      <c r="J119" s="475"/>
      <c r="K119" s="412"/>
      <c r="L119" s="412"/>
      <c r="M119" s="76"/>
      <c r="N119" s="76"/>
      <c r="O119" s="185"/>
      <c r="P119" s="120"/>
    </row>
    <row r="120" spans="1:16" ht="19.5" x14ac:dyDescent="0.2">
      <c r="A120" s="417">
        <v>10</v>
      </c>
      <c r="B120" s="417">
        <v>867007</v>
      </c>
      <c r="C120" s="417" t="s">
        <v>235</v>
      </c>
      <c r="D120" s="411">
        <v>3</v>
      </c>
      <c r="E120" s="474"/>
      <c r="F120" s="472"/>
      <c r="G120" s="472"/>
      <c r="H120" s="75"/>
      <c r="I120" s="474"/>
      <c r="J120" s="474"/>
      <c r="K120" s="411">
        <v>1</v>
      </c>
      <c r="L120" s="411">
        <v>60</v>
      </c>
      <c r="M120" s="75">
        <v>10131</v>
      </c>
      <c r="N120" s="75" t="s">
        <v>346</v>
      </c>
      <c r="O120" s="280" t="s">
        <v>216</v>
      </c>
      <c r="P120" s="117">
        <v>45</v>
      </c>
    </row>
    <row r="121" spans="1:16" ht="21.75" customHeight="1" x14ac:dyDescent="0.2">
      <c r="A121" s="418"/>
      <c r="B121" s="419"/>
      <c r="C121" s="419"/>
      <c r="D121" s="412"/>
      <c r="E121" s="475"/>
      <c r="F121" s="473"/>
      <c r="G121" s="473"/>
      <c r="H121" s="76"/>
      <c r="I121" s="475"/>
      <c r="J121" s="475"/>
      <c r="K121" s="412"/>
      <c r="L121" s="412"/>
      <c r="M121" s="76"/>
      <c r="N121" s="76"/>
      <c r="O121" s="185"/>
      <c r="P121" s="120"/>
    </row>
    <row r="122" spans="1:16" ht="19.5" x14ac:dyDescent="0.2">
      <c r="A122" s="417">
        <v>11</v>
      </c>
      <c r="B122" s="417">
        <v>867007</v>
      </c>
      <c r="C122" s="417" t="s">
        <v>235</v>
      </c>
      <c r="D122" s="411">
        <v>3</v>
      </c>
      <c r="E122" s="474"/>
      <c r="F122" s="472"/>
      <c r="G122" s="472"/>
      <c r="H122" s="75"/>
      <c r="I122" s="474"/>
      <c r="J122" s="474"/>
      <c r="K122" s="411">
        <v>1</v>
      </c>
      <c r="L122" s="411">
        <v>60</v>
      </c>
      <c r="M122" s="75">
        <v>11053</v>
      </c>
      <c r="N122" s="75" t="s">
        <v>346</v>
      </c>
      <c r="O122" s="280" t="s">
        <v>209</v>
      </c>
      <c r="P122" s="117">
        <v>45</v>
      </c>
    </row>
    <row r="123" spans="1:16" ht="21.75" customHeight="1" x14ac:dyDescent="0.2">
      <c r="A123" s="418"/>
      <c r="B123" s="419"/>
      <c r="C123" s="419"/>
      <c r="D123" s="412"/>
      <c r="E123" s="475"/>
      <c r="F123" s="473"/>
      <c r="G123" s="473"/>
      <c r="H123" s="76"/>
      <c r="I123" s="475"/>
      <c r="J123" s="475"/>
      <c r="K123" s="412"/>
      <c r="L123" s="412"/>
      <c r="M123" s="76"/>
      <c r="N123" s="76"/>
      <c r="O123" s="185"/>
      <c r="P123" s="120"/>
    </row>
    <row r="124" spans="1:16" ht="19.5" x14ac:dyDescent="0.2">
      <c r="A124" s="417">
        <v>12</v>
      </c>
      <c r="B124" s="417">
        <v>867007</v>
      </c>
      <c r="C124" s="417" t="s">
        <v>235</v>
      </c>
      <c r="D124" s="411">
        <v>3</v>
      </c>
      <c r="E124" s="474"/>
      <c r="F124" s="472"/>
      <c r="G124" s="472"/>
      <c r="H124" s="75"/>
      <c r="I124" s="474"/>
      <c r="J124" s="474"/>
      <c r="K124" s="411">
        <v>1</v>
      </c>
      <c r="L124" s="411">
        <v>60</v>
      </c>
      <c r="M124" s="75">
        <v>11053</v>
      </c>
      <c r="N124" s="75" t="s">
        <v>346</v>
      </c>
      <c r="O124" s="280" t="s">
        <v>209</v>
      </c>
      <c r="P124" s="117">
        <v>45</v>
      </c>
    </row>
    <row r="125" spans="1:16" ht="21.75" customHeight="1" x14ac:dyDescent="0.2">
      <c r="A125" s="418"/>
      <c r="B125" s="419"/>
      <c r="C125" s="419"/>
      <c r="D125" s="412"/>
      <c r="E125" s="475"/>
      <c r="F125" s="473"/>
      <c r="G125" s="473"/>
      <c r="H125" s="76"/>
      <c r="I125" s="475"/>
      <c r="J125" s="475"/>
      <c r="K125" s="412"/>
      <c r="L125" s="412"/>
      <c r="M125" s="76"/>
      <c r="N125" s="76"/>
      <c r="O125" s="185"/>
      <c r="P125" s="120"/>
    </row>
    <row r="126" spans="1:16" ht="39" x14ac:dyDescent="0.2">
      <c r="A126" s="417">
        <v>13</v>
      </c>
      <c r="B126" s="417">
        <v>867007</v>
      </c>
      <c r="C126" s="417" t="s">
        <v>235</v>
      </c>
      <c r="D126" s="411">
        <v>3</v>
      </c>
      <c r="E126" s="474"/>
      <c r="F126" s="472"/>
      <c r="G126" s="472"/>
      <c r="H126" s="75"/>
      <c r="I126" s="474"/>
      <c r="J126" s="474"/>
      <c r="K126" s="411">
        <v>1</v>
      </c>
      <c r="L126" s="411">
        <v>60</v>
      </c>
      <c r="M126" s="75">
        <v>10134</v>
      </c>
      <c r="N126" s="75" t="s">
        <v>359</v>
      </c>
      <c r="O126" s="280" t="s">
        <v>203</v>
      </c>
      <c r="P126" s="117">
        <v>45</v>
      </c>
    </row>
    <row r="127" spans="1:16" ht="21.75" customHeight="1" x14ac:dyDescent="0.2">
      <c r="A127" s="418"/>
      <c r="B127" s="419"/>
      <c r="C127" s="419"/>
      <c r="D127" s="412"/>
      <c r="E127" s="475"/>
      <c r="F127" s="473"/>
      <c r="G127" s="473"/>
      <c r="H127" s="76"/>
      <c r="I127" s="475"/>
      <c r="J127" s="475"/>
      <c r="K127" s="412"/>
      <c r="L127" s="412"/>
      <c r="M127" s="76"/>
      <c r="N127" s="76"/>
      <c r="O127" s="185"/>
      <c r="P127" s="120"/>
    </row>
    <row r="128" spans="1:16" ht="19.5" x14ac:dyDescent="0.2">
      <c r="A128" s="417">
        <v>14</v>
      </c>
      <c r="B128" s="417">
        <v>867007</v>
      </c>
      <c r="C128" s="417" t="s">
        <v>235</v>
      </c>
      <c r="D128" s="411">
        <v>3</v>
      </c>
      <c r="E128" s="474"/>
      <c r="F128" s="472"/>
      <c r="G128" s="472"/>
      <c r="H128" s="75"/>
      <c r="I128" s="474"/>
      <c r="J128" s="474"/>
      <c r="K128" s="411">
        <v>1</v>
      </c>
      <c r="L128" s="411">
        <v>60</v>
      </c>
      <c r="M128" s="75"/>
      <c r="N128" s="75" t="s">
        <v>346</v>
      </c>
      <c r="O128" s="280" t="s">
        <v>238</v>
      </c>
      <c r="P128" s="117">
        <v>45</v>
      </c>
    </row>
    <row r="129" spans="1:16" ht="21.75" customHeight="1" x14ac:dyDescent="0.2">
      <c r="A129" s="418"/>
      <c r="B129" s="419"/>
      <c r="C129" s="419"/>
      <c r="D129" s="412"/>
      <c r="E129" s="475"/>
      <c r="F129" s="473"/>
      <c r="G129" s="473"/>
      <c r="H129" s="76"/>
      <c r="I129" s="475"/>
      <c r="J129" s="475"/>
      <c r="K129" s="412"/>
      <c r="L129" s="412"/>
      <c r="M129" s="76"/>
      <c r="N129" s="76"/>
      <c r="O129" s="185"/>
      <c r="P129" s="120"/>
    </row>
    <row r="130" spans="1:16" ht="19.5" x14ac:dyDescent="0.2">
      <c r="A130" s="417">
        <v>15</v>
      </c>
      <c r="B130" s="417">
        <v>867007</v>
      </c>
      <c r="C130" s="417" t="s">
        <v>235</v>
      </c>
      <c r="D130" s="411">
        <v>3</v>
      </c>
      <c r="E130" s="474"/>
      <c r="F130" s="472"/>
      <c r="G130" s="472"/>
      <c r="H130" s="75"/>
      <c r="I130" s="474"/>
      <c r="J130" s="474"/>
      <c r="K130" s="411">
        <v>1</v>
      </c>
      <c r="L130" s="411">
        <v>60</v>
      </c>
      <c r="M130" s="75">
        <v>10135</v>
      </c>
      <c r="N130" s="75" t="s">
        <v>359</v>
      </c>
      <c r="O130" s="280" t="s">
        <v>205</v>
      </c>
      <c r="P130" s="117">
        <v>45</v>
      </c>
    </row>
    <row r="131" spans="1:16" ht="21.75" customHeight="1" x14ac:dyDescent="0.2">
      <c r="A131" s="418"/>
      <c r="B131" s="419"/>
      <c r="C131" s="419"/>
      <c r="D131" s="412"/>
      <c r="E131" s="475"/>
      <c r="F131" s="473"/>
      <c r="G131" s="473"/>
      <c r="H131" s="76"/>
      <c r="I131" s="475"/>
      <c r="J131" s="475"/>
      <c r="K131" s="412"/>
      <c r="L131" s="412"/>
      <c r="M131" s="76"/>
      <c r="N131" s="76"/>
      <c r="O131" s="185"/>
      <c r="P131" s="120"/>
    </row>
    <row r="132" spans="1:16" ht="19.5" x14ac:dyDescent="0.2">
      <c r="A132" s="417">
        <v>16</v>
      </c>
      <c r="B132" s="417">
        <v>867007</v>
      </c>
      <c r="C132" s="417" t="s">
        <v>235</v>
      </c>
      <c r="D132" s="411">
        <v>3</v>
      </c>
      <c r="E132" s="474"/>
      <c r="F132" s="472"/>
      <c r="G132" s="472"/>
      <c r="H132" s="75"/>
      <c r="I132" s="474"/>
      <c r="J132" s="474"/>
      <c r="K132" s="411">
        <v>1</v>
      </c>
      <c r="L132" s="411">
        <v>60</v>
      </c>
      <c r="M132" s="75">
        <v>10135</v>
      </c>
      <c r="N132" s="75" t="s">
        <v>359</v>
      </c>
      <c r="O132" s="280" t="s">
        <v>205</v>
      </c>
      <c r="P132" s="117">
        <v>45</v>
      </c>
    </row>
    <row r="133" spans="1:16" ht="21.75" customHeight="1" x14ac:dyDescent="0.2">
      <c r="A133" s="418"/>
      <c r="B133" s="419"/>
      <c r="C133" s="419"/>
      <c r="D133" s="412"/>
      <c r="E133" s="475"/>
      <c r="F133" s="473"/>
      <c r="G133" s="473"/>
      <c r="H133" s="76"/>
      <c r="I133" s="475"/>
      <c r="J133" s="475"/>
      <c r="K133" s="412"/>
      <c r="L133" s="412"/>
      <c r="M133" s="76"/>
      <c r="N133" s="76"/>
      <c r="O133" s="185"/>
      <c r="P133" s="120"/>
    </row>
    <row r="134" spans="1:16" ht="19.5" x14ac:dyDescent="0.2">
      <c r="A134" s="417">
        <v>17</v>
      </c>
      <c r="B134" s="417">
        <v>867007</v>
      </c>
      <c r="C134" s="417" t="s">
        <v>235</v>
      </c>
      <c r="D134" s="411">
        <v>3</v>
      </c>
      <c r="E134" s="474"/>
      <c r="F134" s="472"/>
      <c r="G134" s="472"/>
      <c r="H134" s="75"/>
      <c r="I134" s="474"/>
      <c r="J134" s="474"/>
      <c r="K134" s="411">
        <v>1</v>
      </c>
      <c r="L134" s="411">
        <v>60</v>
      </c>
      <c r="M134" s="75">
        <v>10510</v>
      </c>
      <c r="N134" s="75" t="s">
        <v>359</v>
      </c>
      <c r="O134" s="280" t="s">
        <v>144</v>
      </c>
      <c r="P134" s="117">
        <v>45</v>
      </c>
    </row>
    <row r="135" spans="1:16" ht="21.75" customHeight="1" x14ac:dyDescent="0.2">
      <c r="A135" s="418"/>
      <c r="B135" s="419"/>
      <c r="C135" s="419"/>
      <c r="D135" s="412"/>
      <c r="E135" s="475"/>
      <c r="F135" s="473"/>
      <c r="G135" s="473"/>
      <c r="H135" s="76"/>
      <c r="I135" s="475"/>
      <c r="J135" s="475"/>
      <c r="K135" s="412"/>
      <c r="L135" s="412"/>
      <c r="M135" s="76"/>
      <c r="N135" s="76"/>
      <c r="O135" s="185"/>
      <c r="P135" s="120"/>
    </row>
    <row r="136" spans="1:16" ht="39" x14ac:dyDescent="0.2">
      <c r="A136" s="417">
        <v>18</v>
      </c>
      <c r="B136" s="417">
        <v>867007</v>
      </c>
      <c r="C136" s="417" t="s">
        <v>235</v>
      </c>
      <c r="D136" s="411">
        <v>3</v>
      </c>
      <c r="E136" s="474"/>
      <c r="F136" s="472"/>
      <c r="G136" s="472"/>
      <c r="H136" s="75"/>
      <c r="I136" s="474"/>
      <c r="J136" s="474"/>
      <c r="K136" s="411">
        <v>1</v>
      </c>
      <c r="L136" s="411">
        <v>60</v>
      </c>
      <c r="M136" s="75">
        <v>10873</v>
      </c>
      <c r="N136" s="75" t="s">
        <v>360</v>
      </c>
      <c r="O136" s="280" t="s">
        <v>189</v>
      </c>
      <c r="P136" s="117">
        <v>45</v>
      </c>
    </row>
    <row r="137" spans="1:16" ht="21.75" customHeight="1" x14ac:dyDescent="0.2">
      <c r="A137" s="418"/>
      <c r="B137" s="419"/>
      <c r="C137" s="419"/>
      <c r="D137" s="412"/>
      <c r="E137" s="475"/>
      <c r="F137" s="473"/>
      <c r="G137" s="473"/>
      <c r="H137" s="76"/>
      <c r="I137" s="475"/>
      <c r="J137" s="475"/>
      <c r="K137" s="412"/>
      <c r="L137" s="412"/>
      <c r="M137" s="76"/>
      <c r="N137" s="76"/>
      <c r="O137" s="185"/>
      <c r="P137" s="120"/>
    </row>
    <row r="138" spans="1:16" ht="19.5" x14ac:dyDescent="0.2">
      <c r="A138" s="417">
        <v>19</v>
      </c>
      <c r="B138" s="417">
        <v>867007</v>
      </c>
      <c r="C138" s="417" t="s">
        <v>235</v>
      </c>
      <c r="D138" s="411">
        <v>3</v>
      </c>
      <c r="E138" s="474"/>
      <c r="F138" s="472"/>
      <c r="G138" s="472"/>
      <c r="H138" s="75"/>
      <c r="I138" s="474"/>
      <c r="J138" s="474"/>
      <c r="K138" s="411">
        <v>1</v>
      </c>
      <c r="L138" s="411">
        <v>60</v>
      </c>
      <c r="M138" s="75">
        <v>10131</v>
      </c>
      <c r="N138" s="75" t="s">
        <v>346</v>
      </c>
      <c r="O138" s="280" t="s">
        <v>216</v>
      </c>
      <c r="P138" s="117">
        <v>45</v>
      </c>
    </row>
    <row r="139" spans="1:16" ht="21.75" customHeight="1" x14ac:dyDescent="0.2">
      <c r="A139" s="418"/>
      <c r="B139" s="419"/>
      <c r="C139" s="419"/>
      <c r="D139" s="412"/>
      <c r="E139" s="475"/>
      <c r="F139" s="473"/>
      <c r="G139" s="473"/>
      <c r="H139" s="76"/>
      <c r="I139" s="475"/>
      <c r="J139" s="475"/>
      <c r="K139" s="412"/>
      <c r="L139" s="412"/>
      <c r="M139" s="76"/>
      <c r="N139" s="76"/>
      <c r="O139" s="185"/>
      <c r="P139" s="120"/>
    </row>
    <row r="140" spans="1:16" ht="19.5" x14ac:dyDescent="0.2">
      <c r="A140" s="417">
        <v>20</v>
      </c>
      <c r="B140" s="417">
        <v>867007</v>
      </c>
      <c r="C140" s="417" t="s">
        <v>235</v>
      </c>
      <c r="D140" s="411">
        <v>3</v>
      </c>
      <c r="E140" s="474"/>
      <c r="F140" s="472"/>
      <c r="G140" s="472"/>
      <c r="H140" s="75"/>
      <c r="I140" s="474"/>
      <c r="J140" s="474"/>
      <c r="K140" s="411">
        <v>1</v>
      </c>
      <c r="L140" s="411">
        <v>60</v>
      </c>
      <c r="M140" s="75">
        <v>10131</v>
      </c>
      <c r="N140" s="75" t="s">
        <v>346</v>
      </c>
      <c r="O140" s="280" t="s">
        <v>216</v>
      </c>
      <c r="P140" s="117">
        <v>45</v>
      </c>
    </row>
    <row r="141" spans="1:16" ht="21.75" customHeight="1" x14ac:dyDescent="0.2">
      <c r="A141" s="418"/>
      <c r="B141" s="419"/>
      <c r="C141" s="419"/>
      <c r="D141" s="412"/>
      <c r="E141" s="475"/>
      <c r="F141" s="473"/>
      <c r="G141" s="473"/>
      <c r="H141" s="76"/>
      <c r="I141" s="475"/>
      <c r="J141" s="475"/>
      <c r="K141" s="412"/>
      <c r="L141" s="412"/>
      <c r="M141" s="76"/>
      <c r="N141" s="76"/>
      <c r="O141" s="185"/>
      <c r="P141" s="120"/>
    </row>
    <row r="142" spans="1:16" ht="19.5" x14ac:dyDescent="0.2">
      <c r="A142" s="417">
        <v>21</v>
      </c>
      <c r="B142" s="417">
        <v>867007</v>
      </c>
      <c r="C142" s="417" t="s">
        <v>235</v>
      </c>
      <c r="D142" s="411">
        <v>3</v>
      </c>
      <c r="E142" s="474"/>
      <c r="F142" s="472"/>
      <c r="G142" s="472"/>
      <c r="H142" s="75"/>
      <c r="I142" s="474"/>
      <c r="J142" s="474"/>
      <c r="K142" s="411">
        <v>1</v>
      </c>
      <c r="L142" s="411">
        <v>60</v>
      </c>
      <c r="M142" s="75">
        <v>11053</v>
      </c>
      <c r="N142" s="75" t="s">
        <v>346</v>
      </c>
      <c r="O142" s="280" t="s">
        <v>209</v>
      </c>
      <c r="P142" s="117">
        <v>45</v>
      </c>
    </row>
    <row r="143" spans="1:16" ht="21.75" customHeight="1" x14ac:dyDescent="0.2">
      <c r="A143" s="418"/>
      <c r="B143" s="419"/>
      <c r="C143" s="419"/>
      <c r="D143" s="412"/>
      <c r="E143" s="475"/>
      <c r="F143" s="473"/>
      <c r="G143" s="473"/>
      <c r="H143" s="76"/>
      <c r="I143" s="475"/>
      <c r="J143" s="475"/>
      <c r="K143" s="412"/>
      <c r="L143" s="412"/>
      <c r="M143" s="76"/>
      <c r="N143" s="76"/>
      <c r="O143" s="185"/>
      <c r="P143" s="120"/>
    </row>
    <row r="144" spans="1:16" ht="19.5" x14ac:dyDescent="0.2">
      <c r="A144" s="417">
        <v>22</v>
      </c>
      <c r="B144" s="417">
        <v>867007</v>
      </c>
      <c r="C144" s="417" t="s">
        <v>235</v>
      </c>
      <c r="D144" s="411">
        <v>3</v>
      </c>
      <c r="E144" s="474"/>
      <c r="F144" s="472"/>
      <c r="G144" s="472"/>
      <c r="H144" s="75"/>
      <c r="I144" s="474"/>
      <c r="J144" s="474"/>
      <c r="K144" s="411">
        <v>1</v>
      </c>
      <c r="L144" s="411">
        <v>60</v>
      </c>
      <c r="M144" s="75">
        <v>11053</v>
      </c>
      <c r="N144" s="75" t="s">
        <v>346</v>
      </c>
      <c r="O144" s="280" t="s">
        <v>209</v>
      </c>
      <c r="P144" s="117">
        <v>45</v>
      </c>
    </row>
    <row r="145" spans="1:18" ht="21.75" customHeight="1" x14ac:dyDescent="0.2">
      <c r="A145" s="418"/>
      <c r="B145" s="419"/>
      <c r="C145" s="419"/>
      <c r="D145" s="412"/>
      <c r="E145" s="475"/>
      <c r="F145" s="473"/>
      <c r="G145" s="473"/>
      <c r="H145" s="76"/>
      <c r="I145" s="475"/>
      <c r="J145" s="475"/>
      <c r="K145" s="412"/>
      <c r="L145" s="412"/>
      <c r="M145" s="76"/>
      <c r="N145" s="76"/>
      <c r="O145" s="185"/>
      <c r="P145" s="120"/>
    </row>
    <row r="146" spans="1:18" ht="19.5" x14ac:dyDescent="0.2">
      <c r="A146" s="417">
        <v>23</v>
      </c>
      <c r="B146" s="417">
        <v>867007</v>
      </c>
      <c r="C146" s="417" t="s">
        <v>235</v>
      </c>
      <c r="D146" s="411">
        <v>3</v>
      </c>
      <c r="E146" s="474"/>
      <c r="F146" s="472"/>
      <c r="G146" s="472"/>
      <c r="H146" s="75"/>
      <c r="I146" s="474"/>
      <c r="J146" s="474"/>
      <c r="K146" s="411">
        <v>1</v>
      </c>
      <c r="L146" s="411">
        <v>60</v>
      </c>
      <c r="M146" s="75"/>
      <c r="N146" s="75" t="s">
        <v>346</v>
      </c>
      <c r="O146" s="285" t="s">
        <v>238</v>
      </c>
      <c r="P146" s="117">
        <v>45</v>
      </c>
    </row>
    <row r="147" spans="1:18" ht="21.75" customHeight="1" x14ac:dyDescent="0.2">
      <c r="A147" s="418"/>
      <c r="B147" s="419"/>
      <c r="C147" s="419"/>
      <c r="D147" s="412"/>
      <c r="E147" s="475"/>
      <c r="F147" s="473"/>
      <c r="G147" s="473"/>
      <c r="H147" s="76"/>
      <c r="I147" s="475"/>
      <c r="J147" s="475"/>
      <c r="K147" s="412"/>
      <c r="L147" s="412"/>
      <c r="M147" s="76"/>
      <c r="N147" s="76"/>
      <c r="O147" s="185"/>
      <c r="P147" s="120"/>
    </row>
    <row r="148" spans="1:18" ht="19.5" x14ac:dyDescent="0.2">
      <c r="A148" s="417">
        <v>24</v>
      </c>
      <c r="B148" s="417">
        <v>867007</v>
      </c>
      <c r="C148" s="417" t="s">
        <v>235</v>
      </c>
      <c r="D148" s="411">
        <v>3</v>
      </c>
      <c r="E148" s="474"/>
      <c r="F148" s="472"/>
      <c r="G148" s="472"/>
      <c r="H148" s="75"/>
      <c r="I148" s="474"/>
      <c r="J148" s="474"/>
      <c r="K148" s="411">
        <v>1</v>
      </c>
      <c r="L148" s="411">
        <v>60</v>
      </c>
      <c r="M148" s="75"/>
      <c r="N148" s="75" t="s">
        <v>346</v>
      </c>
      <c r="O148" s="285" t="s">
        <v>238</v>
      </c>
      <c r="P148" s="117">
        <v>45</v>
      </c>
    </row>
    <row r="149" spans="1:18" ht="21.75" customHeight="1" x14ac:dyDescent="0.2">
      <c r="A149" s="418"/>
      <c r="B149" s="419"/>
      <c r="C149" s="419"/>
      <c r="D149" s="412"/>
      <c r="E149" s="475"/>
      <c r="F149" s="473"/>
      <c r="G149" s="473"/>
      <c r="H149" s="76"/>
      <c r="I149" s="475"/>
      <c r="J149" s="475"/>
      <c r="K149" s="412"/>
      <c r="L149" s="412"/>
      <c r="M149" s="76"/>
      <c r="N149" s="76"/>
      <c r="O149" s="185"/>
      <c r="P149" s="120"/>
    </row>
    <row r="150" spans="1:18" ht="39" x14ac:dyDescent="0.2">
      <c r="A150" s="417">
        <v>25</v>
      </c>
      <c r="B150" s="417">
        <v>867007</v>
      </c>
      <c r="C150" s="417" t="s">
        <v>235</v>
      </c>
      <c r="D150" s="411">
        <v>3</v>
      </c>
      <c r="E150" s="474"/>
      <c r="F150" s="472"/>
      <c r="G150" s="472"/>
      <c r="H150" s="75"/>
      <c r="I150" s="474"/>
      <c r="J150" s="474"/>
      <c r="K150" s="411">
        <v>1</v>
      </c>
      <c r="L150" s="411">
        <v>60</v>
      </c>
      <c r="M150" s="75">
        <v>10936</v>
      </c>
      <c r="N150" s="75" t="s">
        <v>360</v>
      </c>
      <c r="O150" s="281" t="s">
        <v>219</v>
      </c>
      <c r="P150" s="117">
        <v>45</v>
      </c>
    </row>
    <row r="151" spans="1:18" ht="21.75" customHeight="1" x14ac:dyDescent="0.2">
      <c r="A151" s="418"/>
      <c r="B151" s="419"/>
      <c r="C151" s="419"/>
      <c r="D151" s="412"/>
      <c r="E151" s="475"/>
      <c r="F151" s="473"/>
      <c r="G151" s="473"/>
      <c r="H151" s="76"/>
      <c r="I151" s="475"/>
      <c r="J151" s="475"/>
      <c r="K151" s="412"/>
      <c r="L151" s="412"/>
      <c r="M151" s="76"/>
      <c r="N151" s="76"/>
      <c r="O151" s="185"/>
      <c r="P151" s="120"/>
    </row>
    <row r="152" spans="1:18" ht="39" x14ac:dyDescent="0.2">
      <c r="A152" s="417">
        <v>26</v>
      </c>
      <c r="B152" s="417">
        <v>867007</v>
      </c>
      <c r="C152" s="417" t="s">
        <v>235</v>
      </c>
      <c r="D152" s="411">
        <v>3</v>
      </c>
      <c r="E152" s="474"/>
      <c r="F152" s="472"/>
      <c r="G152" s="472"/>
      <c r="H152" s="75"/>
      <c r="I152" s="474"/>
      <c r="J152" s="474"/>
      <c r="K152" s="411">
        <v>1</v>
      </c>
      <c r="L152" s="411">
        <v>60</v>
      </c>
      <c r="M152" s="75">
        <v>10936</v>
      </c>
      <c r="N152" s="75" t="s">
        <v>360</v>
      </c>
      <c r="O152" s="281" t="s">
        <v>219</v>
      </c>
      <c r="P152" s="117">
        <v>45</v>
      </c>
    </row>
    <row r="153" spans="1:18" ht="21.75" customHeight="1" x14ac:dyDescent="0.2">
      <c r="A153" s="418"/>
      <c r="B153" s="419"/>
      <c r="C153" s="419"/>
      <c r="D153" s="412"/>
      <c r="E153" s="475"/>
      <c r="F153" s="473"/>
      <c r="G153" s="473"/>
      <c r="H153" s="76"/>
      <c r="I153" s="475"/>
      <c r="J153" s="475"/>
      <c r="K153" s="412"/>
      <c r="L153" s="412"/>
      <c r="M153" s="76"/>
      <c r="N153" s="76"/>
      <c r="O153" s="185"/>
      <c r="P153" s="120"/>
    </row>
    <row r="154" spans="1:18" ht="19.5" customHeight="1" x14ac:dyDescent="0.2">
      <c r="A154" s="507">
        <v>1</v>
      </c>
      <c r="B154" s="507">
        <v>867008</v>
      </c>
      <c r="C154" s="507" t="s">
        <v>236</v>
      </c>
      <c r="D154" s="476">
        <v>2</v>
      </c>
      <c r="E154" s="476"/>
      <c r="F154" s="507"/>
      <c r="G154" s="507"/>
      <c r="H154" s="238"/>
      <c r="I154" s="476"/>
      <c r="J154" s="476"/>
      <c r="K154" s="476">
        <v>1</v>
      </c>
      <c r="L154" s="476">
        <v>60</v>
      </c>
      <c r="M154" s="238">
        <v>10144</v>
      </c>
      <c r="N154" s="238" t="s">
        <v>346</v>
      </c>
      <c r="O154" s="239" t="s">
        <v>211</v>
      </c>
      <c r="P154" s="240">
        <v>30</v>
      </c>
      <c r="R154" s="509" t="s">
        <v>327</v>
      </c>
    </row>
    <row r="155" spans="1:18" ht="21.75" customHeight="1" x14ac:dyDescent="0.2">
      <c r="A155" s="508"/>
      <c r="B155" s="508"/>
      <c r="C155" s="508"/>
      <c r="D155" s="477"/>
      <c r="E155" s="477"/>
      <c r="F155" s="508"/>
      <c r="G155" s="508"/>
      <c r="H155" s="241"/>
      <c r="I155" s="477"/>
      <c r="J155" s="477"/>
      <c r="K155" s="477"/>
      <c r="L155" s="477"/>
      <c r="M155" s="241"/>
      <c r="N155" s="241"/>
      <c r="O155" s="242"/>
      <c r="P155" s="243"/>
      <c r="R155" s="509"/>
    </row>
    <row r="156" spans="1:18" ht="19.5" customHeight="1" x14ac:dyDescent="0.2">
      <c r="A156" s="507">
        <v>2</v>
      </c>
      <c r="B156" s="507">
        <v>867008</v>
      </c>
      <c r="C156" s="507" t="s">
        <v>236</v>
      </c>
      <c r="D156" s="476">
        <v>2</v>
      </c>
      <c r="E156" s="476"/>
      <c r="F156" s="507"/>
      <c r="G156" s="507"/>
      <c r="H156" s="238"/>
      <c r="I156" s="476"/>
      <c r="J156" s="476"/>
      <c r="K156" s="476">
        <v>1</v>
      </c>
      <c r="L156" s="476">
        <v>60</v>
      </c>
      <c r="M156" s="238">
        <v>10144</v>
      </c>
      <c r="N156" s="238" t="s">
        <v>346</v>
      </c>
      <c r="O156" s="239" t="s">
        <v>211</v>
      </c>
      <c r="P156" s="240">
        <v>30</v>
      </c>
      <c r="R156" s="509"/>
    </row>
    <row r="157" spans="1:18" ht="21.75" customHeight="1" x14ac:dyDescent="0.2">
      <c r="A157" s="508"/>
      <c r="B157" s="508"/>
      <c r="C157" s="508"/>
      <c r="D157" s="477"/>
      <c r="E157" s="477"/>
      <c r="F157" s="508"/>
      <c r="G157" s="508"/>
      <c r="H157" s="241"/>
      <c r="I157" s="477"/>
      <c r="J157" s="477"/>
      <c r="K157" s="477"/>
      <c r="L157" s="477"/>
      <c r="M157" s="241"/>
      <c r="N157" s="241"/>
      <c r="O157" s="242"/>
      <c r="P157" s="243"/>
      <c r="R157" s="509"/>
    </row>
    <row r="158" spans="1:18" ht="19.5" customHeight="1" x14ac:dyDescent="0.2">
      <c r="A158" s="507">
        <v>3</v>
      </c>
      <c r="B158" s="507">
        <v>867008</v>
      </c>
      <c r="C158" s="507" t="s">
        <v>236</v>
      </c>
      <c r="D158" s="476">
        <v>2</v>
      </c>
      <c r="E158" s="476"/>
      <c r="F158" s="507"/>
      <c r="G158" s="507"/>
      <c r="H158" s="238"/>
      <c r="I158" s="476"/>
      <c r="J158" s="476"/>
      <c r="K158" s="476">
        <v>1</v>
      </c>
      <c r="L158" s="476">
        <v>60</v>
      </c>
      <c r="M158" s="238">
        <v>10986</v>
      </c>
      <c r="N158" s="238" t="s">
        <v>359</v>
      </c>
      <c r="O158" s="239" t="s">
        <v>180</v>
      </c>
      <c r="P158" s="240">
        <v>30</v>
      </c>
      <c r="R158" s="509"/>
    </row>
    <row r="159" spans="1:18" ht="21.75" customHeight="1" x14ac:dyDescent="0.2">
      <c r="A159" s="508"/>
      <c r="B159" s="508"/>
      <c r="C159" s="508"/>
      <c r="D159" s="477"/>
      <c r="E159" s="477"/>
      <c r="F159" s="508"/>
      <c r="G159" s="508"/>
      <c r="H159" s="241"/>
      <c r="I159" s="477"/>
      <c r="J159" s="477"/>
      <c r="K159" s="477"/>
      <c r="L159" s="477"/>
      <c r="M159" s="241"/>
      <c r="N159" s="241"/>
      <c r="O159" s="242"/>
      <c r="P159" s="243"/>
      <c r="R159" s="509"/>
    </row>
    <row r="160" spans="1:18" ht="19.5" customHeight="1" x14ac:dyDescent="0.2">
      <c r="A160" s="507">
        <v>4</v>
      </c>
      <c r="B160" s="507">
        <v>867008</v>
      </c>
      <c r="C160" s="507" t="s">
        <v>236</v>
      </c>
      <c r="D160" s="476">
        <v>2</v>
      </c>
      <c r="E160" s="476"/>
      <c r="F160" s="507"/>
      <c r="G160" s="507"/>
      <c r="H160" s="238"/>
      <c r="I160" s="476"/>
      <c r="J160" s="476"/>
      <c r="K160" s="476">
        <v>1</v>
      </c>
      <c r="L160" s="476">
        <v>60</v>
      </c>
      <c r="M160" s="238">
        <v>10986</v>
      </c>
      <c r="N160" s="238" t="s">
        <v>359</v>
      </c>
      <c r="O160" s="239" t="s">
        <v>180</v>
      </c>
      <c r="P160" s="240">
        <v>30</v>
      </c>
      <c r="R160" s="509"/>
    </row>
    <row r="161" spans="1:18" ht="21.75" customHeight="1" x14ac:dyDescent="0.2">
      <c r="A161" s="508"/>
      <c r="B161" s="508"/>
      <c r="C161" s="508"/>
      <c r="D161" s="477"/>
      <c r="E161" s="477"/>
      <c r="F161" s="508"/>
      <c r="G161" s="508"/>
      <c r="H161" s="241"/>
      <c r="I161" s="477"/>
      <c r="J161" s="477"/>
      <c r="K161" s="477"/>
      <c r="L161" s="477"/>
      <c r="M161" s="241"/>
      <c r="N161" s="241"/>
      <c r="O161" s="242"/>
      <c r="P161" s="243"/>
      <c r="R161" s="509"/>
    </row>
    <row r="162" spans="1:18" ht="19.5" customHeight="1" x14ac:dyDescent="0.2">
      <c r="A162" s="507">
        <v>5</v>
      </c>
      <c r="B162" s="507">
        <v>867008</v>
      </c>
      <c r="C162" s="507" t="s">
        <v>236</v>
      </c>
      <c r="D162" s="476">
        <v>2</v>
      </c>
      <c r="E162" s="476"/>
      <c r="F162" s="507"/>
      <c r="G162" s="507"/>
      <c r="H162" s="238"/>
      <c r="I162" s="476"/>
      <c r="J162" s="476"/>
      <c r="K162" s="476">
        <v>1</v>
      </c>
      <c r="L162" s="476">
        <v>60</v>
      </c>
      <c r="M162" s="238">
        <v>11372</v>
      </c>
      <c r="N162" s="238" t="s">
        <v>363</v>
      </c>
      <c r="O162" s="239" t="s">
        <v>176</v>
      </c>
      <c r="P162" s="240">
        <v>30</v>
      </c>
      <c r="R162" s="509"/>
    </row>
    <row r="163" spans="1:18" ht="21.75" customHeight="1" x14ac:dyDescent="0.2">
      <c r="A163" s="508"/>
      <c r="B163" s="508"/>
      <c r="C163" s="508"/>
      <c r="D163" s="477"/>
      <c r="E163" s="477"/>
      <c r="F163" s="508"/>
      <c r="G163" s="508"/>
      <c r="H163" s="241"/>
      <c r="I163" s="477"/>
      <c r="J163" s="477"/>
      <c r="K163" s="477"/>
      <c r="L163" s="477"/>
      <c r="M163" s="241"/>
      <c r="N163" s="241"/>
      <c r="O163" s="242"/>
      <c r="P163" s="243"/>
      <c r="R163" s="509"/>
    </row>
    <row r="164" spans="1:18" ht="19.5" customHeight="1" x14ac:dyDescent="0.2">
      <c r="A164" s="507">
        <v>6</v>
      </c>
      <c r="B164" s="507">
        <v>867008</v>
      </c>
      <c r="C164" s="507" t="s">
        <v>236</v>
      </c>
      <c r="D164" s="476">
        <v>2</v>
      </c>
      <c r="E164" s="476"/>
      <c r="F164" s="507"/>
      <c r="G164" s="507"/>
      <c r="H164" s="238"/>
      <c r="I164" s="476"/>
      <c r="J164" s="476"/>
      <c r="K164" s="476">
        <v>1</v>
      </c>
      <c r="L164" s="476">
        <v>60</v>
      </c>
      <c r="M164" s="238">
        <v>11372</v>
      </c>
      <c r="N164" s="238" t="s">
        <v>363</v>
      </c>
      <c r="O164" s="239" t="s">
        <v>176</v>
      </c>
      <c r="P164" s="240">
        <v>30</v>
      </c>
      <c r="R164" s="509"/>
    </row>
    <row r="165" spans="1:18" ht="21.75" customHeight="1" x14ac:dyDescent="0.2">
      <c r="A165" s="508"/>
      <c r="B165" s="508"/>
      <c r="C165" s="508"/>
      <c r="D165" s="477"/>
      <c r="E165" s="477"/>
      <c r="F165" s="508"/>
      <c r="G165" s="508"/>
      <c r="H165" s="241"/>
      <c r="I165" s="477"/>
      <c r="J165" s="477"/>
      <c r="K165" s="477"/>
      <c r="L165" s="477"/>
      <c r="M165" s="241"/>
      <c r="N165" s="241"/>
      <c r="O165" s="242"/>
      <c r="P165" s="243"/>
      <c r="R165" s="509"/>
    </row>
    <row r="166" spans="1:18" ht="19.5" customHeight="1" x14ac:dyDescent="0.2">
      <c r="A166" s="507">
        <v>7</v>
      </c>
      <c r="B166" s="507">
        <v>867008</v>
      </c>
      <c r="C166" s="507" t="s">
        <v>236</v>
      </c>
      <c r="D166" s="476">
        <v>2</v>
      </c>
      <c r="E166" s="476"/>
      <c r="F166" s="507"/>
      <c r="G166" s="507"/>
      <c r="H166" s="238"/>
      <c r="I166" s="476"/>
      <c r="J166" s="476"/>
      <c r="K166" s="476">
        <v>1</v>
      </c>
      <c r="L166" s="476">
        <v>60</v>
      </c>
      <c r="M166" s="238">
        <v>10144</v>
      </c>
      <c r="N166" s="238" t="s">
        <v>346</v>
      </c>
      <c r="O166" s="239" t="s">
        <v>211</v>
      </c>
      <c r="P166" s="240">
        <v>30</v>
      </c>
      <c r="R166" s="509"/>
    </row>
    <row r="167" spans="1:18" ht="21.75" customHeight="1" x14ac:dyDescent="0.2">
      <c r="A167" s="508"/>
      <c r="B167" s="508"/>
      <c r="C167" s="508"/>
      <c r="D167" s="477"/>
      <c r="E167" s="477"/>
      <c r="F167" s="508"/>
      <c r="G167" s="508"/>
      <c r="H167" s="241"/>
      <c r="I167" s="477"/>
      <c r="J167" s="477"/>
      <c r="K167" s="477"/>
      <c r="L167" s="477"/>
      <c r="M167" s="241"/>
      <c r="N167" s="241"/>
      <c r="O167" s="242"/>
      <c r="P167" s="243"/>
      <c r="R167" s="509"/>
    </row>
    <row r="168" spans="1:18" ht="19.5" customHeight="1" x14ac:dyDescent="0.2">
      <c r="A168" s="507">
        <v>8</v>
      </c>
      <c r="B168" s="507">
        <v>867008</v>
      </c>
      <c r="C168" s="507" t="s">
        <v>236</v>
      </c>
      <c r="D168" s="476">
        <v>2</v>
      </c>
      <c r="E168" s="476"/>
      <c r="F168" s="507"/>
      <c r="G168" s="507"/>
      <c r="H168" s="238"/>
      <c r="I168" s="476"/>
      <c r="J168" s="476"/>
      <c r="K168" s="476">
        <v>1</v>
      </c>
      <c r="L168" s="476">
        <v>60</v>
      </c>
      <c r="M168" s="238">
        <v>10144</v>
      </c>
      <c r="N168" s="238" t="s">
        <v>346</v>
      </c>
      <c r="O168" s="239" t="s">
        <v>211</v>
      </c>
      <c r="P168" s="240">
        <v>30</v>
      </c>
      <c r="R168" s="509"/>
    </row>
    <row r="169" spans="1:18" ht="21.75" customHeight="1" x14ac:dyDescent="0.2">
      <c r="A169" s="508"/>
      <c r="B169" s="508"/>
      <c r="C169" s="508"/>
      <c r="D169" s="477"/>
      <c r="E169" s="477"/>
      <c r="F169" s="508"/>
      <c r="G169" s="508"/>
      <c r="H169" s="241"/>
      <c r="I169" s="477"/>
      <c r="J169" s="477"/>
      <c r="K169" s="477"/>
      <c r="L169" s="477"/>
      <c r="M169" s="241"/>
      <c r="N169" s="241"/>
      <c r="O169" s="242"/>
      <c r="P169" s="243"/>
      <c r="R169" s="509"/>
    </row>
    <row r="170" spans="1:18" ht="19.5" customHeight="1" x14ac:dyDescent="0.2">
      <c r="A170" s="507">
        <v>9</v>
      </c>
      <c r="B170" s="507">
        <v>867008</v>
      </c>
      <c r="C170" s="507" t="s">
        <v>236</v>
      </c>
      <c r="D170" s="476">
        <v>2</v>
      </c>
      <c r="E170" s="476"/>
      <c r="F170" s="507"/>
      <c r="G170" s="507"/>
      <c r="H170" s="238"/>
      <c r="I170" s="476"/>
      <c r="J170" s="476"/>
      <c r="K170" s="476">
        <v>1</v>
      </c>
      <c r="L170" s="476">
        <v>60</v>
      </c>
      <c r="M170" s="238">
        <v>10144</v>
      </c>
      <c r="N170" s="238" t="s">
        <v>346</v>
      </c>
      <c r="O170" s="239" t="s">
        <v>211</v>
      </c>
      <c r="P170" s="240">
        <v>30</v>
      </c>
      <c r="R170" s="509"/>
    </row>
    <row r="171" spans="1:18" ht="21.75" customHeight="1" x14ac:dyDescent="0.2">
      <c r="A171" s="508"/>
      <c r="B171" s="508"/>
      <c r="C171" s="508"/>
      <c r="D171" s="477"/>
      <c r="E171" s="477"/>
      <c r="F171" s="508"/>
      <c r="G171" s="508"/>
      <c r="H171" s="241"/>
      <c r="I171" s="477"/>
      <c r="J171" s="477"/>
      <c r="K171" s="477"/>
      <c r="L171" s="477"/>
      <c r="M171" s="241"/>
      <c r="N171" s="241"/>
      <c r="O171" s="242"/>
      <c r="P171" s="243"/>
      <c r="R171" s="509"/>
    </row>
    <row r="172" spans="1:18" ht="19.5" customHeight="1" x14ac:dyDescent="0.2">
      <c r="A172" s="507">
        <v>10</v>
      </c>
      <c r="B172" s="507">
        <v>867008</v>
      </c>
      <c r="C172" s="507" t="s">
        <v>236</v>
      </c>
      <c r="D172" s="476">
        <v>2</v>
      </c>
      <c r="E172" s="476"/>
      <c r="F172" s="507"/>
      <c r="G172" s="507"/>
      <c r="H172" s="238"/>
      <c r="I172" s="476"/>
      <c r="J172" s="476"/>
      <c r="K172" s="476">
        <v>1</v>
      </c>
      <c r="L172" s="476">
        <v>60</v>
      </c>
      <c r="M172" s="238">
        <v>11051</v>
      </c>
      <c r="N172" s="238" t="s">
        <v>359</v>
      </c>
      <c r="O172" s="239" t="s">
        <v>178</v>
      </c>
      <c r="P172" s="240">
        <v>30</v>
      </c>
      <c r="R172" s="509"/>
    </row>
    <row r="173" spans="1:18" ht="21.75" customHeight="1" x14ac:dyDescent="0.2">
      <c r="A173" s="508"/>
      <c r="B173" s="508"/>
      <c r="C173" s="508"/>
      <c r="D173" s="477"/>
      <c r="E173" s="477"/>
      <c r="F173" s="508"/>
      <c r="G173" s="508"/>
      <c r="H173" s="241"/>
      <c r="I173" s="477"/>
      <c r="J173" s="477"/>
      <c r="K173" s="477"/>
      <c r="L173" s="477"/>
      <c r="M173" s="241"/>
      <c r="N173" s="241"/>
      <c r="O173" s="242"/>
      <c r="P173" s="243"/>
      <c r="R173" s="509"/>
    </row>
    <row r="174" spans="1:18" ht="19.5" customHeight="1" x14ac:dyDescent="0.2">
      <c r="A174" s="507">
        <v>11</v>
      </c>
      <c r="B174" s="507">
        <v>867008</v>
      </c>
      <c r="C174" s="507" t="s">
        <v>236</v>
      </c>
      <c r="D174" s="476">
        <v>2</v>
      </c>
      <c r="E174" s="476"/>
      <c r="F174" s="507"/>
      <c r="G174" s="507"/>
      <c r="H174" s="238"/>
      <c r="I174" s="476"/>
      <c r="J174" s="476"/>
      <c r="K174" s="476">
        <v>1</v>
      </c>
      <c r="L174" s="476">
        <v>60</v>
      </c>
      <c r="M174" s="238">
        <v>11051</v>
      </c>
      <c r="N174" s="238" t="s">
        <v>359</v>
      </c>
      <c r="O174" s="239" t="s">
        <v>178</v>
      </c>
      <c r="P174" s="240">
        <v>30</v>
      </c>
      <c r="R174" s="509"/>
    </row>
    <row r="175" spans="1:18" ht="21.75" customHeight="1" x14ac:dyDescent="0.2">
      <c r="A175" s="508"/>
      <c r="B175" s="508"/>
      <c r="C175" s="508"/>
      <c r="D175" s="477"/>
      <c r="E175" s="477"/>
      <c r="F175" s="508"/>
      <c r="G175" s="508"/>
      <c r="H175" s="241"/>
      <c r="I175" s="477"/>
      <c r="J175" s="477"/>
      <c r="K175" s="477"/>
      <c r="L175" s="477"/>
      <c r="M175" s="241"/>
      <c r="N175" s="241"/>
      <c r="O175" s="242"/>
      <c r="P175" s="243"/>
      <c r="R175" s="509"/>
    </row>
    <row r="176" spans="1:18" ht="19.5" customHeight="1" x14ac:dyDescent="0.2">
      <c r="A176" s="507">
        <v>12</v>
      </c>
      <c r="B176" s="507">
        <v>867008</v>
      </c>
      <c r="C176" s="507" t="s">
        <v>236</v>
      </c>
      <c r="D176" s="476">
        <v>2</v>
      </c>
      <c r="E176" s="476"/>
      <c r="F176" s="507"/>
      <c r="G176" s="507"/>
      <c r="H176" s="238"/>
      <c r="I176" s="476"/>
      <c r="J176" s="476"/>
      <c r="K176" s="476">
        <v>1</v>
      </c>
      <c r="L176" s="476">
        <v>60</v>
      </c>
      <c r="M176" s="238">
        <v>11051</v>
      </c>
      <c r="N176" s="238" t="s">
        <v>359</v>
      </c>
      <c r="O176" s="239" t="s">
        <v>178</v>
      </c>
      <c r="P176" s="240">
        <v>30</v>
      </c>
      <c r="R176" s="509"/>
    </row>
    <row r="177" spans="1:18" ht="21.75" customHeight="1" x14ac:dyDescent="0.2">
      <c r="A177" s="508"/>
      <c r="B177" s="508"/>
      <c r="C177" s="508"/>
      <c r="D177" s="477"/>
      <c r="E177" s="477"/>
      <c r="F177" s="508"/>
      <c r="G177" s="508"/>
      <c r="H177" s="241"/>
      <c r="I177" s="477"/>
      <c r="J177" s="477"/>
      <c r="K177" s="477"/>
      <c r="L177" s="477"/>
      <c r="M177" s="241"/>
      <c r="N177" s="241"/>
      <c r="O177" s="242"/>
      <c r="P177" s="243"/>
      <c r="R177" s="509"/>
    </row>
    <row r="178" spans="1:18" ht="19.5" x14ac:dyDescent="0.2">
      <c r="A178" s="527">
        <v>1</v>
      </c>
      <c r="B178" s="527">
        <v>806402</v>
      </c>
      <c r="C178" s="527" t="s">
        <v>320</v>
      </c>
      <c r="D178" s="529">
        <v>3</v>
      </c>
      <c r="E178" s="529" t="s">
        <v>321</v>
      </c>
      <c r="F178" s="527"/>
      <c r="G178" s="527"/>
      <c r="H178" s="266"/>
      <c r="I178" s="529">
        <v>45</v>
      </c>
      <c r="J178" s="529">
        <v>1</v>
      </c>
      <c r="K178" s="529">
        <v>1</v>
      </c>
      <c r="L178" s="529">
        <v>45</v>
      </c>
      <c r="M178" s="266">
        <v>10154</v>
      </c>
      <c r="N178" s="266" t="s">
        <v>346</v>
      </c>
      <c r="O178" s="267" t="s">
        <v>157</v>
      </c>
      <c r="P178" s="268">
        <v>45</v>
      </c>
      <c r="R178" s="511"/>
    </row>
    <row r="179" spans="1:18" ht="21.75" customHeight="1" x14ac:dyDescent="0.2">
      <c r="A179" s="528"/>
      <c r="B179" s="528"/>
      <c r="C179" s="528"/>
      <c r="D179" s="530"/>
      <c r="E179" s="530"/>
      <c r="F179" s="528"/>
      <c r="G179" s="528"/>
      <c r="H179" s="269"/>
      <c r="I179" s="530"/>
      <c r="J179" s="530"/>
      <c r="K179" s="530"/>
      <c r="L179" s="530"/>
      <c r="M179" s="269"/>
      <c r="N179" s="269"/>
      <c r="O179" s="270"/>
      <c r="P179" s="271"/>
      <c r="R179" s="511"/>
    </row>
    <row r="180" spans="1:18" ht="39" x14ac:dyDescent="0.2">
      <c r="A180" s="472">
        <v>1</v>
      </c>
      <c r="B180" s="472">
        <v>841401</v>
      </c>
      <c r="C180" s="472" t="s">
        <v>233</v>
      </c>
      <c r="D180" s="474">
        <v>3</v>
      </c>
      <c r="E180" s="474" t="s">
        <v>322</v>
      </c>
      <c r="F180" s="472">
        <v>45</v>
      </c>
      <c r="G180" s="472">
        <v>0</v>
      </c>
      <c r="H180" s="75"/>
      <c r="I180" s="474">
        <v>45</v>
      </c>
      <c r="J180" s="474">
        <v>1</v>
      </c>
      <c r="K180" s="474">
        <v>1</v>
      </c>
      <c r="L180" s="474">
        <v>75</v>
      </c>
      <c r="M180" s="75">
        <v>10873</v>
      </c>
      <c r="N180" s="75" t="s">
        <v>360</v>
      </c>
      <c r="O180" s="184" t="s">
        <v>189</v>
      </c>
      <c r="P180" s="268">
        <v>45</v>
      </c>
    </row>
    <row r="181" spans="1:18" ht="21.75" customHeight="1" x14ac:dyDescent="0.2">
      <c r="A181" s="473"/>
      <c r="B181" s="473"/>
      <c r="C181" s="473"/>
      <c r="D181" s="475"/>
      <c r="E181" s="475"/>
      <c r="F181" s="473"/>
      <c r="G181" s="473"/>
      <c r="H181" s="76"/>
      <c r="I181" s="475"/>
      <c r="J181" s="475"/>
      <c r="K181" s="475"/>
      <c r="L181" s="475"/>
      <c r="M181" s="76"/>
      <c r="N181" s="76"/>
      <c r="O181" s="185"/>
      <c r="P181" s="271"/>
    </row>
    <row r="182" spans="1:18" ht="19.5" x14ac:dyDescent="0.2">
      <c r="A182" s="472">
        <v>2</v>
      </c>
      <c r="B182" s="472">
        <v>841401</v>
      </c>
      <c r="C182" s="472" t="s">
        <v>233</v>
      </c>
      <c r="D182" s="474">
        <v>3</v>
      </c>
      <c r="E182" s="474" t="s">
        <v>322</v>
      </c>
      <c r="F182" s="472">
        <v>45</v>
      </c>
      <c r="G182" s="472">
        <v>0</v>
      </c>
      <c r="H182" s="75"/>
      <c r="I182" s="474">
        <v>45</v>
      </c>
      <c r="J182" s="474">
        <v>1</v>
      </c>
      <c r="K182" s="474">
        <v>1</v>
      </c>
      <c r="L182" s="474">
        <v>75</v>
      </c>
      <c r="M182" s="75">
        <v>11204</v>
      </c>
      <c r="N182" s="75" t="s">
        <v>359</v>
      </c>
      <c r="O182" s="184" t="s">
        <v>187</v>
      </c>
      <c r="P182" s="268">
        <v>45</v>
      </c>
    </row>
    <row r="183" spans="1:18" ht="21.75" customHeight="1" x14ac:dyDescent="0.2">
      <c r="A183" s="473"/>
      <c r="B183" s="473"/>
      <c r="C183" s="473"/>
      <c r="D183" s="475"/>
      <c r="E183" s="475"/>
      <c r="F183" s="473"/>
      <c r="G183" s="473"/>
      <c r="H183" s="76"/>
      <c r="I183" s="475"/>
      <c r="J183" s="475"/>
      <c r="K183" s="475"/>
      <c r="L183" s="475"/>
      <c r="M183" s="76"/>
      <c r="N183" s="76"/>
      <c r="O183" s="185"/>
      <c r="P183" s="271"/>
    </row>
    <row r="184" spans="1:18" ht="19.5" x14ac:dyDescent="0.2">
      <c r="A184" s="472">
        <v>3</v>
      </c>
      <c r="B184" s="472">
        <v>841401</v>
      </c>
      <c r="C184" s="472" t="s">
        <v>233</v>
      </c>
      <c r="D184" s="474">
        <v>3</v>
      </c>
      <c r="E184" s="474" t="s">
        <v>322</v>
      </c>
      <c r="F184" s="472">
        <v>45</v>
      </c>
      <c r="G184" s="472">
        <v>0</v>
      </c>
      <c r="H184" s="75"/>
      <c r="I184" s="474">
        <v>45</v>
      </c>
      <c r="J184" s="474">
        <v>1</v>
      </c>
      <c r="K184" s="474">
        <v>1</v>
      </c>
      <c r="L184" s="474">
        <v>75</v>
      </c>
      <c r="M184" s="75">
        <v>11204</v>
      </c>
      <c r="N184" s="75" t="s">
        <v>359</v>
      </c>
      <c r="O184" s="184" t="s">
        <v>187</v>
      </c>
      <c r="P184" s="268">
        <v>45</v>
      </c>
    </row>
    <row r="185" spans="1:18" ht="21.75" customHeight="1" x14ac:dyDescent="0.2">
      <c r="A185" s="473"/>
      <c r="B185" s="473"/>
      <c r="C185" s="473"/>
      <c r="D185" s="475"/>
      <c r="E185" s="475"/>
      <c r="F185" s="473"/>
      <c r="G185" s="473"/>
      <c r="H185" s="76"/>
      <c r="I185" s="475"/>
      <c r="J185" s="475"/>
      <c r="K185" s="475"/>
      <c r="L185" s="475"/>
      <c r="M185" s="76"/>
      <c r="N185" s="76"/>
      <c r="O185" s="185"/>
      <c r="P185" s="271"/>
    </row>
    <row r="186" spans="1:18" ht="19.5" x14ac:dyDescent="0.2">
      <c r="A186" s="472">
        <v>4</v>
      </c>
      <c r="B186" s="472">
        <v>841401</v>
      </c>
      <c r="C186" s="472" t="s">
        <v>233</v>
      </c>
      <c r="D186" s="474">
        <v>3</v>
      </c>
      <c r="E186" s="474" t="s">
        <v>322</v>
      </c>
      <c r="F186" s="472">
        <v>45</v>
      </c>
      <c r="G186" s="472">
        <v>0</v>
      </c>
      <c r="H186" s="75"/>
      <c r="I186" s="474">
        <v>45</v>
      </c>
      <c r="J186" s="474">
        <v>1</v>
      </c>
      <c r="K186" s="474">
        <v>1</v>
      </c>
      <c r="L186" s="474">
        <v>75</v>
      </c>
      <c r="M186" s="75">
        <v>10135</v>
      </c>
      <c r="N186" s="75" t="s">
        <v>359</v>
      </c>
      <c r="O186" s="280" t="s">
        <v>205</v>
      </c>
      <c r="P186" s="268">
        <v>45</v>
      </c>
    </row>
    <row r="187" spans="1:18" ht="21.75" customHeight="1" x14ac:dyDescent="0.2">
      <c r="A187" s="473"/>
      <c r="B187" s="473"/>
      <c r="C187" s="473"/>
      <c r="D187" s="475"/>
      <c r="E187" s="475"/>
      <c r="F187" s="473"/>
      <c r="G187" s="473"/>
      <c r="H187" s="76"/>
      <c r="I187" s="475"/>
      <c r="J187" s="475"/>
      <c r="K187" s="475"/>
      <c r="L187" s="475"/>
      <c r="M187" s="76"/>
      <c r="N187" s="76"/>
      <c r="O187" s="185"/>
      <c r="P187" s="271"/>
    </row>
    <row r="188" spans="1:18" ht="19.5" x14ac:dyDescent="0.2">
      <c r="A188" s="472">
        <v>5</v>
      </c>
      <c r="B188" s="472">
        <v>841401</v>
      </c>
      <c r="C188" s="472" t="s">
        <v>233</v>
      </c>
      <c r="D188" s="474">
        <v>3</v>
      </c>
      <c r="E188" s="474" t="s">
        <v>322</v>
      </c>
      <c r="F188" s="472">
        <v>45</v>
      </c>
      <c r="G188" s="472">
        <v>0</v>
      </c>
      <c r="H188" s="75"/>
      <c r="I188" s="474">
        <v>45</v>
      </c>
      <c r="J188" s="474">
        <v>1</v>
      </c>
      <c r="K188" s="474">
        <v>1</v>
      </c>
      <c r="L188" s="474">
        <v>75</v>
      </c>
      <c r="M188" s="75">
        <v>10135</v>
      </c>
      <c r="N188" s="75" t="s">
        <v>359</v>
      </c>
      <c r="O188" s="280" t="s">
        <v>205</v>
      </c>
      <c r="P188" s="268">
        <v>45</v>
      </c>
    </row>
    <row r="189" spans="1:18" ht="21.75" customHeight="1" x14ac:dyDescent="0.2">
      <c r="A189" s="473"/>
      <c r="B189" s="473"/>
      <c r="C189" s="473"/>
      <c r="D189" s="475"/>
      <c r="E189" s="475"/>
      <c r="F189" s="473"/>
      <c r="G189" s="473"/>
      <c r="H189" s="76"/>
      <c r="I189" s="475"/>
      <c r="J189" s="475"/>
      <c r="K189" s="475"/>
      <c r="L189" s="475"/>
      <c r="M189" s="76"/>
      <c r="N189" s="76"/>
      <c r="O189" s="185"/>
      <c r="P189" s="271"/>
    </row>
    <row r="190" spans="1:18" ht="19.5" x14ac:dyDescent="0.2">
      <c r="A190" s="472">
        <v>6</v>
      </c>
      <c r="B190" s="472">
        <v>841401</v>
      </c>
      <c r="C190" s="472" t="s">
        <v>233</v>
      </c>
      <c r="D190" s="474">
        <v>3</v>
      </c>
      <c r="E190" s="474" t="s">
        <v>322</v>
      </c>
      <c r="F190" s="472">
        <v>45</v>
      </c>
      <c r="G190" s="472">
        <v>0</v>
      </c>
      <c r="H190" s="75"/>
      <c r="I190" s="474">
        <v>45</v>
      </c>
      <c r="J190" s="474">
        <v>1</v>
      </c>
      <c r="K190" s="474">
        <v>1</v>
      </c>
      <c r="L190" s="474">
        <v>75</v>
      </c>
      <c r="M190" s="75">
        <v>10131</v>
      </c>
      <c r="N190" s="75" t="s">
        <v>346</v>
      </c>
      <c r="O190" s="280" t="s">
        <v>216</v>
      </c>
      <c r="P190" s="268">
        <v>45</v>
      </c>
    </row>
    <row r="191" spans="1:18" ht="21.75" customHeight="1" x14ac:dyDescent="0.2">
      <c r="A191" s="473"/>
      <c r="B191" s="473"/>
      <c r="C191" s="473"/>
      <c r="D191" s="475"/>
      <c r="E191" s="475"/>
      <c r="F191" s="473"/>
      <c r="G191" s="473"/>
      <c r="H191" s="76"/>
      <c r="I191" s="475"/>
      <c r="J191" s="475"/>
      <c r="K191" s="475"/>
      <c r="L191" s="475"/>
      <c r="M191" s="76"/>
      <c r="N191" s="76"/>
      <c r="O191" s="185"/>
      <c r="P191" s="271"/>
    </row>
    <row r="192" spans="1:18" ht="19.5" x14ac:dyDescent="0.2">
      <c r="A192" s="472">
        <v>7</v>
      </c>
      <c r="B192" s="472">
        <v>841401</v>
      </c>
      <c r="C192" s="472" t="s">
        <v>233</v>
      </c>
      <c r="D192" s="474">
        <v>3</v>
      </c>
      <c r="E192" s="474" t="s">
        <v>322</v>
      </c>
      <c r="F192" s="472">
        <v>45</v>
      </c>
      <c r="G192" s="472">
        <v>0</v>
      </c>
      <c r="H192" s="75"/>
      <c r="I192" s="474">
        <v>45</v>
      </c>
      <c r="J192" s="474">
        <v>1</v>
      </c>
      <c r="K192" s="474">
        <v>1</v>
      </c>
      <c r="L192" s="474">
        <v>75</v>
      </c>
      <c r="M192" s="75">
        <v>11053</v>
      </c>
      <c r="N192" s="75" t="s">
        <v>346</v>
      </c>
      <c r="O192" s="280" t="s">
        <v>209</v>
      </c>
      <c r="P192" s="268">
        <v>45</v>
      </c>
    </row>
    <row r="193" spans="1:16" ht="21.75" customHeight="1" x14ac:dyDescent="0.2">
      <c r="A193" s="473"/>
      <c r="B193" s="473"/>
      <c r="C193" s="473"/>
      <c r="D193" s="475"/>
      <c r="E193" s="475"/>
      <c r="F193" s="473"/>
      <c r="G193" s="473"/>
      <c r="H193" s="76"/>
      <c r="I193" s="475"/>
      <c r="J193" s="475"/>
      <c r="K193" s="475"/>
      <c r="L193" s="475"/>
      <c r="M193" s="76"/>
      <c r="N193" s="76"/>
      <c r="O193" s="185"/>
      <c r="P193" s="271"/>
    </row>
    <row r="194" spans="1:16" ht="19.5" x14ac:dyDescent="0.2">
      <c r="A194" s="472">
        <v>8</v>
      </c>
      <c r="B194" s="472">
        <v>841401</v>
      </c>
      <c r="C194" s="472" t="s">
        <v>233</v>
      </c>
      <c r="D194" s="474">
        <v>3</v>
      </c>
      <c r="E194" s="474" t="s">
        <v>322</v>
      </c>
      <c r="F194" s="472">
        <v>45</v>
      </c>
      <c r="G194" s="472">
        <v>0</v>
      </c>
      <c r="H194" s="75"/>
      <c r="I194" s="474">
        <v>45</v>
      </c>
      <c r="J194" s="474">
        <v>1</v>
      </c>
      <c r="K194" s="474">
        <v>1</v>
      </c>
      <c r="L194" s="474">
        <v>75</v>
      </c>
      <c r="M194" s="75">
        <v>11053</v>
      </c>
      <c r="N194" s="75" t="s">
        <v>346</v>
      </c>
      <c r="O194" s="280" t="s">
        <v>209</v>
      </c>
      <c r="P194" s="268">
        <v>45</v>
      </c>
    </row>
    <row r="195" spans="1:16" ht="21.75" customHeight="1" x14ac:dyDescent="0.2">
      <c r="A195" s="473"/>
      <c r="B195" s="473"/>
      <c r="C195" s="473"/>
      <c r="D195" s="475"/>
      <c r="E195" s="475"/>
      <c r="F195" s="473"/>
      <c r="G195" s="473"/>
      <c r="H195" s="76"/>
      <c r="I195" s="475"/>
      <c r="J195" s="475"/>
      <c r="K195" s="475"/>
      <c r="L195" s="475"/>
      <c r="M195" s="76"/>
      <c r="N195" s="76"/>
      <c r="O195" s="185"/>
      <c r="P195" s="271"/>
    </row>
    <row r="196" spans="1:16" ht="19.5" x14ac:dyDescent="0.2">
      <c r="A196" s="472">
        <v>1</v>
      </c>
      <c r="B196" s="472">
        <v>841402</v>
      </c>
      <c r="C196" s="472" t="s">
        <v>132</v>
      </c>
      <c r="D196" s="474">
        <v>3</v>
      </c>
      <c r="E196" s="474" t="s">
        <v>322</v>
      </c>
      <c r="F196" s="472">
        <v>45</v>
      </c>
      <c r="G196" s="472">
        <v>0</v>
      </c>
      <c r="H196" s="75"/>
      <c r="I196" s="474">
        <v>45</v>
      </c>
      <c r="J196" s="474">
        <v>1</v>
      </c>
      <c r="K196" s="474">
        <v>1</v>
      </c>
      <c r="L196" s="474">
        <v>75</v>
      </c>
      <c r="M196" s="75">
        <v>11372</v>
      </c>
      <c r="N196" s="75" t="s">
        <v>363</v>
      </c>
      <c r="O196" s="184" t="s">
        <v>176</v>
      </c>
      <c r="P196" s="268">
        <v>45</v>
      </c>
    </row>
    <row r="197" spans="1:16" ht="21.75" customHeight="1" x14ac:dyDescent="0.2">
      <c r="A197" s="473"/>
      <c r="B197" s="473"/>
      <c r="C197" s="473"/>
      <c r="D197" s="475"/>
      <c r="E197" s="475"/>
      <c r="F197" s="473"/>
      <c r="G197" s="473"/>
      <c r="H197" s="76"/>
      <c r="I197" s="475"/>
      <c r="J197" s="475"/>
      <c r="K197" s="475"/>
      <c r="L197" s="475"/>
      <c r="M197" s="76"/>
      <c r="N197" s="76"/>
      <c r="O197" s="185"/>
      <c r="P197" s="271"/>
    </row>
    <row r="198" spans="1:16" ht="19.5" x14ac:dyDescent="0.2">
      <c r="A198" s="472">
        <v>2</v>
      </c>
      <c r="B198" s="472">
        <v>841402</v>
      </c>
      <c r="C198" s="472" t="s">
        <v>132</v>
      </c>
      <c r="D198" s="474">
        <v>3</v>
      </c>
      <c r="E198" s="474" t="s">
        <v>322</v>
      </c>
      <c r="F198" s="472">
        <v>45</v>
      </c>
      <c r="G198" s="472">
        <v>0</v>
      </c>
      <c r="H198" s="75"/>
      <c r="I198" s="474">
        <v>45</v>
      </c>
      <c r="J198" s="474">
        <v>1</v>
      </c>
      <c r="K198" s="474">
        <v>1</v>
      </c>
      <c r="L198" s="474">
        <v>75</v>
      </c>
      <c r="M198" s="75">
        <v>11372</v>
      </c>
      <c r="N198" s="75" t="s">
        <v>363</v>
      </c>
      <c r="O198" s="184" t="s">
        <v>176</v>
      </c>
      <c r="P198" s="268">
        <v>45</v>
      </c>
    </row>
    <row r="199" spans="1:16" ht="21.75" customHeight="1" x14ac:dyDescent="0.2">
      <c r="A199" s="473"/>
      <c r="B199" s="473"/>
      <c r="C199" s="473"/>
      <c r="D199" s="475"/>
      <c r="E199" s="475"/>
      <c r="F199" s="473"/>
      <c r="G199" s="473"/>
      <c r="H199" s="76"/>
      <c r="I199" s="475"/>
      <c r="J199" s="475"/>
      <c r="K199" s="475"/>
      <c r="L199" s="475"/>
      <c r="M199" s="76"/>
      <c r="N199" s="76"/>
      <c r="O199" s="185"/>
      <c r="P199" s="271"/>
    </row>
    <row r="200" spans="1:16" ht="19.5" x14ac:dyDescent="0.2">
      <c r="A200" s="472">
        <v>3</v>
      </c>
      <c r="B200" s="472">
        <v>841402</v>
      </c>
      <c r="C200" s="472" t="s">
        <v>132</v>
      </c>
      <c r="D200" s="474">
        <v>3</v>
      </c>
      <c r="E200" s="474" t="s">
        <v>322</v>
      </c>
      <c r="F200" s="472">
        <v>45</v>
      </c>
      <c r="G200" s="472">
        <v>0</v>
      </c>
      <c r="H200" s="75"/>
      <c r="I200" s="474">
        <v>45</v>
      </c>
      <c r="J200" s="474">
        <v>1</v>
      </c>
      <c r="K200" s="474">
        <v>1</v>
      </c>
      <c r="L200" s="474">
        <v>75</v>
      </c>
      <c r="M200" s="75">
        <v>10986</v>
      </c>
      <c r="N200" s="75" t="s">
        <v>359</v>
      </c>
      <c r="O200" s="280" t="s">
        <v>180</v>
      </c>
      <c r="P200" s="268">
        <v>45</v>
      </c>
    </row>
    <row r="201" spans="1:16" ht="21.75" customHeight="1" x14ac:dyDescent="0.2">
      <c r="A201" s="473"/>
      <c r="B201" s="473"/>
      <c r="C201" s="473"/>
      <c r="D201" s="475"/>
      <c r="E201" s="475"/>
      <c r="F201" s="473"/>
      <c r="G201" s="473"/>
      <c r="H201" s="76"/>
      <c r="I201" s="475"/>
      <c r="J201" s="475"/>
      <c r="K201" s="475"/>
      <c r="L201" s="475"/>
      <c r="M201" s="76"/>
      <c r="N201" s="76"/>
      <c r="O201" s="185"/>
      <c r="P201" s="271"/>
    </row>
    <row r="202" spans="1:16" ht="19.5" x14ac:dyDescent="0.2">
      <c r="A202" s="472">
        <v>4</v>
      </c>
      <c r="B202" s="472">
        <v>841402</v>
      </c>
      <c r="C202" s="472" t="s">
        <v>132</v>
      </c>
      <c r="D202" s="474">
        <v>3</v>
      </c>
      <c r="E202" s="474" t="s">
        <v>322</v>
      </c>
      <c r="F202" s="472">
        <v>45</v>
      </c>
      <c r="G202" s="472">
        <v>0</v>
      </c>
      <c r="H202" s="75"/>
      <c r="I202" s="474">
        <v>45</v>
      </c>
      <c r="J202" s="474">
        <v>1</v>
      </c>
      <c r="K202" s="474">
        <v>1</v>
      </c>
      <c r="L202" s="474">
        <v>75</v>
      </c>
      <c r="M202" s="75">
        <v>10986</v>
      </c>
      <c r="N202" s="75" t="s">
        <v>359</v>
      </c>
      <c r="O202" s="280" t="s">
        <v>180</v>
      </c>
      <c r="P202" s="268">
        <v>45</v>
      </c>
    </row>
    <row r="203" spans="1:16" ht="19.5" x14ac:dyDescent="0.2">
      <c r="A203" s="473"/>
      <c r="B203" s="473"/>
      <c r="C203" s="473"/>
      <c r="D203" s="475"/>
      <c r="E203" s="475"/>
      <c r="F203" s="473"/>
      <c r="G203" s="473"/>
      <c r="H203" s="76"/>
      <c r="I203" s="475"/>
      <c r="J203" s="475"/>
      <c r="K203" s="475"/>
      <c r="L203" s="475"/>
      <c r="M203" s="118"/>
      <c r="N203" s="118"/>
      <c r="O203" s="118"/>
      <c r="P203" s="271"/>
    </row>
    <row r="204" spans="1:16" ht="19.5" x14ac:dyDescent="0.2">
      <c r="A204" s="472">
        <v>5</v>
      </c>
      <c r="B204" s="472">
        <v>841402</v>
      </c>
      <c r="C204" s="472" t="s">
        <v>132</v>
      </c>
      <c r="D204" s="474">
        <v>3</v>
      </c>
      <c r="E204" s="474" t="s">
        <v>322</v>
      </c>
      <c r="F204" s="472">
        <v>45</v>
      </c>
      <c r="G204" s="472">
        <v>0</v>
      </c>
      <c r="H204" s="75"/>
      <c r="I204" s="474">
        <v>45</v>
      </c>
      <c r="J204" s="474">
        <v>1</v>
      </c>
      <c r="K204" s="474">
        <v>1</v>
      </c>
      <c r="L204" s="474">
        <v>75</v>
      </c>
      <c r="M204" s="75">
        <v>10144</v>
      </c>
      <c r="N204" s="75" t="s">
        <v>346</v>
      </c>
      <c r="O204" s="280" t="s">
        <v>211</v>
      </c>
      <c r="P204" s="268">
        <v>45</v>
      </c>
    </row>
    <row r="205" spans="1:16" ht="19.5" x14ac:dyDescent="0.2">
      <c r="A205" s="473"/>
      <c r="B205" s="473"/>
      <c r="C205" s="473"/>
      <c r="D205" s="475"/>
      <c r="E205" s="475"/>
      <c r="F205" s="473"/>
      <c r="G205" s="473"/>
      <c r="H205" s="76"/>
      <c r="I205" s="475"/>
      <c r="J205" s="475"/>
      <c r="K205" s="475"/>
      <c r="L205" s="475"/>
      <c r="M205" s="118"/>
      <c r="N205" s="118"/>
      <c r="O205" s="118"/>
      <c r="P205" s="271"/>
    </row>
    <row r="206" spans="1:16" ht="19.5" x14ac:dyDescent="0.2">
      <c r="A206" s="472">
        <v>6</v>
      </c>
      <c r="B206" s="472">
        <v>841402</v>
      </c>
      <c r="C206" s="472" t="s">
        <v>132</v>
      </c>
      <c r="D206" s="474">
        <v>3</v>
      </c>
      <c r="E206" s="474" t="s">
        <v>322</v>
      </c>
      <c r="F206" s="472">
        <v>45</v>
      </c>
      <c r="G206" s="472">
        <v>0</v>
      </c>
      <c r="H206" s="75"/>
      <c r="I206" s="474">
        <v>45</v>
      </c>
      <c r="J206" s="474">
        <v>1</v>
      </c>
      <c r="K206" s="474">
        <v>1</v>
      </c>
      <c r="L206" s="474">
        <v>75</v>
      </c>
      <c r="M206" s="75">
        <v>10144</v>
      </c>
      <c r="N206" s="75" t="s">
        <v>346</v>
      </c>
      <c r="O206" s="280" t="s">
        <v>211</v>
      </c>
      <c r="P206" s="268">
        <v>45</v>
      </c>
    </row>
    <row r="207" spans="1:16" ht="19.5" x14ac:dyDescent="0.2">
      <c r="A207" s="473"/>
      <c r="B207" s="473"/>
      <c r="C207" s="473"/>
      <c r="D207" s="475"/>
      <c r="E207" s="475"/>
      <c r="F207" s="473"/>
      <c r="G207" s="473"/>
      <c r="H207" s="76"/>
      <c r="I207" s="475"/>
      <c r="J207" s="475"/>
      <c r="K207" s="475"/>
      <c r="L207" s="475"/>
      <c r="M207" s="118"/>
      <c r="N207" s="118"/>
      <c r="O207" s="118"/>
      <c r="P207" s="271"/>
    </row>
    <row r="208" spans="1:16" ht="40.5" x14ac:dyDescent="0.2">
      <c r="A208" s="472">
        <v>7</v>
      </c>
      <c r="B208" s="472">
        <v>841402</v>
      </c>
      <c r="C208" s="472" t="s">
        <v>132</v>
      </c>
      <c r="D208" s="474">
        <v>3</v>
      </c>
      <c r="E208" s="474" t="s">
        <v>322</v>
      </c>
      <c r="F208" s="472">
        <v>45</v>
      </c>
      <c r="G208" s="472">
        <v>0</v>
      </c>
      <c r="H208" s="75"/>
      <c r="I208" s="474">
        <v>45</v>
      </c>
      <c r="J208" s="474">
        <v>1</v>
      </c>
      <c r="K208" s="474">
        <v>1</v>
      </c>
      <c r="L208" s="474">
        <v>75</v>
      </c>
      <c r="M208" s="75">
        <v>10134</v>
      </c>
      <c r="N208" s="75" t="s">
        <v>359</v>
      </c>
      <c r="O208" s="281" t="s">
        <v>203</v>
      </c>
      <c r="P208" s="268">
        <v>45</v>
      </c>
    </row>
    <row r="209" spans="1:16" ht="19.5" x14ac:dyDescent="0.2">
      <c r="A209" s="473"/>
      <c r="B209" s="473"/>
      <c r="C209" s="473"/>
      <c r="D209" s="475"/>
      <c r="E209" s="475"/>
      <c r="F209" s="473"/>
      <c r="G209" s="473"/>
      <c r="H209" s="76"/>
      <c r="I209" s="475"/>
      <c r="J209" s="475"/>
      <c r="K209" s="475"/>
      <c r="L209" s="475"/>
      <c r="M209" s="118"/>
      <c r="N209" s="118"/>
      <c r="O209" s="118"/>
      <c r="P209" s="271"/>
    </row>
    <row r="210" spans="1:16" ht="40.5" x14ac:dyDescent="0.2">
      <c r="A210" s="472">
        <v>8</v>
      </c>
      <c r="B210" s="472">
        <v>841402</v>
      </c>
      <c r="C210" s="472" t="s">
        <v>132</v>
      </c>
      <c r="D210" s="474">
        <v>3</v>
      </c>
      <c r="E210" s="474" t="s">
        <v>322</v>
      </c>
      <c r="F210" s="472">
        <v>45</v>
      </c>
      <c r="G210" s="472">
        <v>0</v>
      </c>
      <c r="H210" s="75"/>
      <c r="I210" s="474">
        <v>45</v>
      </c>
      <c r="J210" s="474">
        <v>1</v>
      </c>
      <c r="K210" s="474">
        <v>1</v>
      </c>
      <c r="L210" s="474">
        <v>75</v>
      </c>
      <c r="M210" s="75">
        <v>10134</v>
      </c>
      <c r="N210" s="75" t="s">
        <v>359</v>
      </c>
      <c r="O210" s="281" t="s">
        <v>203</v>
      </c>
      <c r="P210" s="268">
        <v>45</v>
      </c>
    </row>
    <row r="211" spans="1:16" ht="19.5" x14ac:dyDescent="0.2">
      <c r="A211" s="473"/>
      <c r="B211" s="473"/>
      <c r="C211" s="473"/>
      <c r="D211" s="475"/>
      <c r="E211" s="475"/>
      <c r="F211" s="473"/>
      <c r="G211" s="473"/>
      <c r="H211" s="76"/>
      <c r="I211" s="475"/>
      <c r="J211" s="475"/>
      <c r="K211" s="475"/>
      <c r="L211" s="475"/>
      <c r="M211" s="118"/>
      <c r="N211" s="118"/>
      <c r="O211" s="118"/>
      <c r="P211" s="271"/>
    </row>
    <row r="212" spans="1:16" ht="20.25" x14ac:dyDescent="0.2">
      <c r="A212" s="472">
        <v>1</v>
      </c>
      <c r="B212" s="472">
        <v>841401</v>
      </c>
      <c r="C212" s="472" t="s">
        <v>233</v>
      </c>
      <c r="D212" s="474">
        <v>3</v>
      </c>
      <c r="E212" s="474" t="s">
        <v>323</v>
      </c>
      <c r="F212" s="472">
        <v>45</v>
      </c>
      <c r="G212" s="472">
        <v>0</v>
      </c>
      <c r="H212" s="75"/>
      <c r="I212" s="474">
        <v>45</v>
      </c>
      <c r="J212" s="474">
        <v>1</v>
      </c>
      <c r="K212" s="474">
        <v>1</v>
      </c>
      <c r="L212" s="474">
        <v>35</v>
      </c>
      <c r="M212" s="75">
        <v>10904</v>
      </c>
      <c r="N212" s="75" t="s">
        <v>359</v>
      </c>
      <c r="O212" s="281" t="s">
        <v>190</v>
      </c>
      <c r="P212" s="268">
        <v>45</v>
      </c>
    </row>
    <row r="213" spans="1:16" ht="20.25" x14ac:dyDescent="0.2">
      <c r="A213" s="473"/>
      <c r="B213" s="473"/>
      <c r="C213" s="473"/>
      <c r="D213" s="475"/>
      <c r="E213" s="475"/>
      <c r="F213" s="473"/>
      <c r="G213" s="473"/>
      <c r="H213" s="76"/>
      <c r="I213" s="475"/>
      <c r="J213" s="475"/>
      <c r="K213" s="475"/>
      <c r="L213" s="475"/>
      <c r="M213" s="118"/>
      <c r="N213" s="118"/>
      <c r="O213" s="282"/>
      <c r="P213" s="271"/>
    </row>
    <row r="214" spans="1:16" ht="19.5" customHeight="1" x14ac:dyDescent="0.2">
      <c r="A214" s="472">
        <v>2</v>
      </c>
      <c r="B214" s="472">
        <v>841401</v>
      </c>
      <c r="C214" s="472" t="s">
        <v>233</v>
      </c>
      <c r="D214" s="474">
        <v>3</v>
      </c>
      <c r="E214" s="474" t="s">
        <v>323</v>
      </c>
      <c r="F214" s="472">
        <v>45</v>
      </c>
      <c r="G214" s="472">
        <v>0</v>
      </c>
      <c r="H214" s="75"/>
      <c r="I214" s="474">
        <v>45</v>
      </c>
      <c r="J214" s="474">
        <v>1</v>
      </c>
      <c r="K214" s="474">
        <v>1</v>
      </c>
      <c r="L214" s="474">
        <v>35</v>
      </c>
      <c r="M214" s="75">
        <v>10904</v>
      </c>
      <c r="N214" s="75" t="s">
        <v>359</v>
      </c>
      <c r="O214" s="281" t="s">
        <v>190</v>
      </c>
      <c r="P214" s="268">
        <v>45</v>
      </c>
    </row>
    <row r="215" spans="1:16" ht="20.25" x14ac:dyDescent="0.2">
      <c r="A215" s="473"/>
      <c r="B215" s="473"/>
      <c r="C215" s="473"/>
      <c r="D215" s="475"/>
      <c r="E215" s="475"/>
      <c r="F215" s="473"/>
      <c r="G215" s="473"/>
      <c r="H215" s="76"/>
      <c r="I215" s="475"/>
      <c r="J215" s="475"/>
      <c r="K215" s="475"/>
      <c r="L215" s="475"/>
      <c r="M215" s="118"/>
      <c r="N215" s="118"/>
      <c r="O215" s="282"/>
      <c r="P215" s="271"/>
    </row>
    <row r="216" spans="1:16" ht="19.5" customHeight="1" x14ac:dyDescent="0.2">
      <c r="A216" s="472">
        <v>3</v>
      </c>
      <c r="B216" s="472">
        <v>841401</v>
      </c>
      <c r="C216" s="472" t="s">
        <v>233</v>
      </c>
      <c r="D216" s="474">
        <v>3</v>
      </c>
      <c r="E216" s="474" t="s">
        <v>323</v>
      </c>
      <c r="F216" s="472">
        <v>45</v>
      </c>
      <c r="G216" s="472">
        <v>0</v>
      </c>
      <c r="H216" s="75"/>
      <c r="I216" s="474">
        <v>45</v>
      </c>
      <c r="J216" s="474">
        <v>1</v>
      </c>
      <c r="K216" s="474">
        <v>1</v>
      </c>
      <c r="L216" s="474">
        <v>35</v>
      </c>
      <c r="M216" s="75">
        <v>11381</v>
      </c>
      <c r="N216" s="75" t="s">
        <v>361</v>
      </c>
      <c r="O216" s="281" t="s">
        <v>195</v>
      </c>
      <c r="P216" s="268">
        <v>45</v>
      </c>
    </row>
    <row r="217" spans="1:16" ht="20.25" x14ac:dyDescent="0.2">
      <c r="A217" s="473"/>
      <c r="B217" s="473"/>
      <c r="C217" s="473"/>
      <c r="D217" s="475"/>
      <c r="E217" s="475"/>
      <c r="F217" s="473"/>
      <c r="G217" s="473"/>
      <c r="H217" s="76"/>
      <c r="I217" s="475"/>
      <c r="J217" s="475"/>
      <c r="K217" s="475"/>
      <c r="L217" s="475"/>
      <c r="M217" s="118"/>
      <c r="N217" s="118"/>
      <c r="O217" s="282"/>
      <c r="P217" s="271"/>
    </row>
    <row r="218" spans="1:16" ht="19.5" customHeight="1" x14ac:dyDescent="0.2">
      <c r="A218" s="472">
        <v>4</v>
      </c>
      <c r="B218" s="472">
        <v>841401</v>
      </c>
      <c r="C218" s="472" t="s">
        <v>233</v>
      </c>
      <c r="D218" s="474">
        <v>3</v>
      </c>
      <c r="E218" s="474" t="s">
        <v>323</v>
      </c>
      <c r="F218" s="472">
        <v>45</v>
      </c>
      <c r="G218" s="472">
        <v>0</v>
      </c>
      <c r="H218" s="75"/>
      <c r="I218" s="474">
        <v>45</v>
      </c>
      <c r="J218" s="474">
        <v>1</v>
      </c>
      <c r="K218" s="474">
        <v>1</v>
      </c>
      <c r="L218" s="474">
        <v>35</v>
      </c>
      <c r="M218" s="75">
        <v>11381</v>
      </c>
      <c r="N218" s="75" t="s">
        <v>361</v>
      </c>
      <c r="O218" s="281" t="s">
        <v>195</v>
      </c>
      <c r="P218" s="268">
        <v>45</v>
      </c>
    </row>
    <row r="219" spans="1:16" ht="20.25" x14ac:dyDescent="0.2">
      <c r="A219" s="473"/>
      <c r="B219" s="473"/>
      <c r="C219" s="473"/>
      <c r="D219" s="475"/>
      <c r="E219" s="475"/>
      <c r="F219" s="473"/>
      <c r="G219" s="473"/>
      <c r="H219" s="76"/>
      <c r="I219" s="475"/>
      <c r="J219" s="475"/>
      <c r="K219" s="475"/>
      <c r="L219" s="475"/>
      <c r="M219" s="76"/>
      <c r="N219" s="76"/>
      <c r="O219" s="282"/>
      <c r="P219" s="271"/>
    </row>
    <row r="220" spans="1:16" ht="19.5" customHeight="1" x14ac:dyDescent="0.2">
      <c r="A220" s="472">
        <v>5</v>
      </c>
      <c r="B220" s="472">
        <v>841401</v>
      </c>
      <c r="C220" s="472" t="s">
        <v>233</v>
      </c>
      <c r="D220" s="474">
        <v>3</v>
      </c>
      <c r="E220" s="474" t="s">
        <v>323</v>
      </c>
      <c r="F220" s="472">
        <v>45</v>
      </c>
      <c r="G220" s="472">
        <v>0</v>
      </c>
      <c r="H220" s="75"/>
      <c r="I220" s="474">
        <v>45</v>
      </c>
      <c r="J220" s="474">
        <v>1</v>
      </c>
      <c r="K220" s="474">
        <v>1</v>
      </c>
      <c r="L220" s="474">
        <v>35</v>
      </c>
      <c r="M220" s="75">
        <v>10904</v>
      </c>
      <c r="N220" s="75" t="s">
        <v>359</v>
      </c>
      <c r="O220" s="281" t="s">
        <v>190</v>
      </c>
      <c r="P220" s="268">
        <v>45</v>
      </c>
    </row>
    <row r="221" spans="1:16" ht="20.25" x14ac:dyDescent="0.2">
      <c r="A221" s="473"/>
      <c r="B221" s="473"/>
      <c r="C221" s="473"/>
      <c r="D221" s="475"/>
      <c r="E221" s="475"/>
      <c r="F221" s="473"/>
      <c r="G221" s="473"/>
      <c r="H221" s="76"/>
      <c r="I221" s="475"/>
      <c r="J221" s="475"/>
      <c r="K221" s="475"/>
      <c r="L221" s="475"/>
      <c r="M221" s="118"/>
      <c r="N221" s="118"/>
      <c r="O221" s="282"/>
      <c r="P221" s="271"/>
    </row>
    <row r="222" spans="1:16" ht="19.5" customHeight="1" x14ac:dyDescent="0.2">
      <c r="A222" s="472">
        <v>1</v>
      </c>
      <c r="B222" s="472">
        <v>841402</v>
      </c>
      <c r="C222" s="472" t="s">
        <v>132</v>
      </c>
      <c r="D222" s="474">
        <v>3</v>
      </c>
      <c r="E222" s="474" t="s">
        <v>323</v>
      </c>
      <c r="F222" s="472">
        <v>45</v>
      </c>
      <c r="G222" s="472">
        <v>0</v>
      </c>
      <c r="H222" s="75"/>
      <c r="I222" s="474">
        <v>45</v>
      </c>
      <c r="J222" s="474">
        <v>1</v>
      </c>
      <c r="K222" s="474">
        <v>1</v>
      </c>
      <c r="L222" s="474">
        <v>35</v>
      </c>
      <c r="M222" s="75">
        <v>10874</v>
      </c>
      <c r="N222" s="75" t="s">
        <v>361</v>
      </c>
      <c r="O222" s="281" t="s">
        <v>179</v>
      </c>
      <c r="P222" s="268">
        <v>45</v>
      </c>
    </row>
    <row r="223" spans="1:16" ht="19.5" x14ac:dyDescent="0.2">
      <c r="A223" s="473"/>
      <c r="B223" s="473"/>
      <c r="C223" s="473"/>
      <c r="D223" s="475"/>
      <c r="E223" s="475"/>
      <c r="F223" s="473"/>
      <c r="G223" s="473"/>
      <c r="H223" s="76"/>
      <c r="I223" s="475"/>
      <c r="J223" s="475"/>
      <c r="K223" s="475"/>
      <c r="L223" s="475"/>
      <c r="M223" s="118"/>
      <c r="N223" s="118"/>
      <c r="O223" s="118"/>
      <c r="P223" s="271"/>
    </row>
    <row r="224" spans="1:16" ht="19.5" customHeight="1" x14ac:dyDescent="0.2">
      <c r="A224" s="472">
        <v>2</v>
      </c>
      <c r="B224" s="472">
        <v>841402</v>
      </c>
      <c r="C224" s="472" t="s">
        <v>132</v>
      </c>
      <c r="D224" s="474">
        <v>3</v>
      </c>
      <c r="E224" s="474" t="s">
        <v>323</v>
      </c>
      <c r="F224" s="472">
        <v>45</v>
      </c>
      <c r="G224" s="472">
        <v>0</v>
      </c>
      <c r="H224" s="75"/>
      <c r="I224" s="474">
        <v>45</v>
      </c>
      <c r="J224" s="474">
        <v>1</v>
      </c>
      <c r="K224" s="474">
        <v>1</v>
      </c>
      <c r="L224" s="474">
        <v>35</v>
      </c>
      <c r="M224" s="75">
        <v>10874</v>
      </c>
      <c r="N224" s="75" t="s">
        <v>361</v>
      </c>
      <c r="O224" s="294" t="s">
        <v>179</v>
      </c>
      <c r="P224" s="268">
        <v>45</v>
      </c>
    </row>
    <row r="225" spans="1:16" ht="19.5" x14ac:dyDescent="0.2">
      <c r="A225" s="473"/>
      <c r="B225" s="473"/>
      <c r="C225" s="473"/>
      <c r="D225" s="475"/>
      <c r="E225" s="475"/>
      <c r="F225" s="473"/>
      <c r="G225" s="473"/>
      <c r="H225" s="76"/>
      <c r="I225" s="475"/>
      <c r="J225" s="475"/>
      <c r="K225" s="475"/>
      <c r="L225" s="475"/>
      <c r="M225" s="118"/>
      <c r="N225" s="118"/>
      <c r="O225" s="118"/>
      <c r="P225" s="271"/>
    </row>
    <row r="226" spans="1:16" ht="19.5" customHeight="1" x14ac:dyDescent="0.2">
      <c r="A226" s="472">
        <v>3</v>
      </c>
      <c r="B226" s="472">
        <v>841402</v>
      </c>
      <c r="C226" s="472" t="s">
        <v>132</v>
      </c>
      <c r="D226" s="474">
        <v>3</v>
      </c>
      <c r="E226" s="474" t="s">
        <v>323</v>
      </c>
      <c r="F226" s="472">
        <v>45</v>
      </c>
      <c r="G226" s="472">
        <v>0</v>
      </c>
      <c r="H226" s="75"/>
      <c r="I226" s="474">
        <v>45</v>
      </c>
      <c r="J226" s="474">
        <v>1</v>
      </c>
      <c r="K226" s="474">
        <v>1</v>
      </c>
      <c r="L226" s="474">
        <v>35</v>
      </c>
      <c r="M226" s="75">
        <v>10874</v>
      </c>
      <c r="N226" s="75" t="s">
        <v>361</v>
      </c>
      <c r="O226" s="294" t="s">
        <v>179</v>
      </c>
      <c r="P226" s="268">
        <v>45</v>
      </c>
    </row>
    <row r="227" spans="1:16" ht="19.5" x14ac:dyDescent="0.2">
      <c r="A227" s="473"/>
      <c r="B227" s="473"/>
      <c r="C227" s="473"/>
      <c r="D227" s="475"/>
      <c r="E227" s="475"/>
      <c r="F227" s="473"/>
      <c r="G227" s="473"/>
      <c r="H227" s="76"/>
      <c r="I227" s="475"/>
      <c r="J227" s="475"/>
      <c r="K227" s="475"/>
      <c r="L227" s="475"/>
      <c r="M227" s="118"/>
      <c r="N227" s="118"/>
      <c r="O227" s="118"/>
      <c r="P227" s="271"/>
    </row>
    <row r="228" spans="1:16" ht="19.5" customHeight="1" x14ac:dyDescent="0.2">
      <c r="A228" s="472">
        <v>4</v>
      </c>
      <c r="B228" s="472">
        <v>841402</v>
      </c>
      <c r="C228" s="472" t="s">
        <v>132</v>
      </c>
      <c r="D228" s="474">
        <v>3</v>
      </c>
      <c r="E228" s="474" t="s">
        <v>323</v>
      </c>
      <c r="F228" s="472">
        <v>45</v>
      </c>
      <c r="G228" s="472">
        <v>0</v>
      </c>
      <c r="H228" s="75"/>
      <c r="I228" s="474">
        <v>45</v>
      </c>
      <c r="J228" s="474">
        <v>1</v>
      </c>
      <c r="K228" s="474">
        <v>1</v>
      </c>
      <c r="L228" s="474">
        <v>35</v>
      </c>
      <c r="M228" s="75">
        <v>11372</v>
      </c>
      <c r="N228" s="75" t="s">
        <v>363</v>
      </c>
      <c r="O228" s="184" t="s">
        <v>176</v>
      </c>
      <c r="P228" s="268">
        <v>45</v>
      </c>
    </row>
    <row r="229" spans="1:16" ht="19.5" x14ac:dyDescent="0.2">
      <c r="A229" s="473"/>
      <c r="B229" s="473"/>
      <c r="C229" s="473"/>
      <c r="D229" s="475"/>
      <c r="E229" s="475"/>
      <c r="F229" s="473"/>
      <c r="G229" s="473"/>
      <c r="H229" s="76"/>
      <c r="I229" s="475"/>
      <c r="J229" s="475"/>
      <c r="K229" s="475"/>
      <c r="L229" s="475"/>
      <c r="M229" s="118"/>
      <c r="N229" s="118"/>
      <c r="O229" s="185"/>
      <c r="P229" s="271"/>
    </row>
    <row r="230" spans="1:16" ht="19.5" customHeight="1" x14ac:dyDescent="0.2">
      <c r="A230" s="472">
        <v>5</v>
      </c>
      <c r="B230" s="472">
        <v>841402</v>
      </c>
      <c r="C230" s="472" t="s">
        <v>132</v>
      </c>
      <c r="D230" s="474">
        <v>3</v>
      </c>
      <c r="E230" s="474" t="s">
        <v>323</v>
      </c>
      <c r="F230" s="472">
        <v>45</v>
      </c>
      <c r="G230" s="472">
        <v>0</v>
      </c>
      <c r="H230" s="75"/>
      <c r="I230" s="474">
        <v>45</v>
      </c>
      <c r="J230" s="474">
        <v>1</v>
      </c>
      <c r="K230" s="474">
        <v>1</v>
      </c>
      <c r="L230" s="474">
        <v>35</v>
      </c>
      <c r="M230" s="75">
        <v>10986</v>
      </c>
      <c r="N230" s="75" t="s">
        <v>359</v>
      </c>
      <c r="O230" s="280" t="s">
        <v>180</v>
      </c>
      <c r="P230" s="268">
        <v>45</v>
      </c>
    </row>
    <row r="231" spans="1:16" ht="19.5" x14ac:dyDescent="0.2">
      <c r="A231" s="473"/>
      <c r="B231" s="473"/>
      <c r="C231" s="473"/>
      <c r="D231" s="475"/>
      <c r="E231" s="475"/>
      <c r="F231" s="473"/>
      <c r="G231" s="473"/>
      <c r="H231" s="76"/>
      <c r="I231" s="475"/>
      <c r="J231" s="475"/>
      <c r="K231" s="475"/>
      <c r="L231" s="475"/>
      <c r="M231" s="118"/>
      <c r="N231" s="118"/>
      <c r="O231" s="185"/>
      <c r="P231" s="271"/>
    </row>
    <row r="232" spans="1:16" ht="39" x14ac:dyDescent="0.2">
      <c r="A232" s="472">
        <v>1</v>
      </c>
      <c r="B232" s="472">
        <v>834305</v>
      </c>
      <c r="C232" s="472" t="s">
        <v>243</v>
      </c>
      <c r="D232" s="474">
        <v>3</v>
      </c>
      <c r="E232" s="474" t="s">
        <v>325</v>
      </c>
      <c r="F232" s="472">
        <v>45</v>
      </c>
      <c r="G232" s="472">
        <v>0</v>
      </c>
      <c r="H232" s="75"/>
      <c r="I232" s="474">
        <v>45</v>
      </c>
      <c r="J232" s="474">
        <v>1</v>
      </c>
      <c r="K232" s="474">
        <v>1</v>
      </c>
      <c r="L232" s="474">
        <v>45</v>
      </c>
      <c r="M232" s="75">
        <v>10936</v>
      </c>
      <c r="N232" s="75" t="s">
        <v>360</v>
      </c>
      <c r="O232" s="280" t="s">
        <v>219</v>
      </c>
      <c r="P232" s="268">
        <v>45</v>
      </c>
    </row>
    <row r="233" spans="1:16" ht="19.5" x14ac:dyDescent="0.2">
      <c r="A233" s="480"/>
      <c r="B233" s="480"/>
      <c r="C233" s="480"/>
      <c r="D233" s="478"/>
      <c r="E233" s="475"/>
      <c r="F233" s="480"/>
      <c r="G233" s="480"/>
      <c r="H233" s="118"/>
      <c r="I233" s="478"/>
      <c r="J233" s="475"/>
      <c r="K233" s="478"/>
      <c r="L233" s="478"/>
      <c r="M233" s="118"/>
      <c r="N233" s="118"/>
      <c r="O233" s="118"/>
      <c r="P233" s="271"/>
    </row>
    <row r="234" spans="1:16" ht="19.5" x14ac:dyDescent="0.2">
      <c r="A234" s="472">
        <v>1</v>
      </c>
      <c r="B234" s="472">
        <v>833006</v>
      </c>
      <c r="C234" s="472" t="s">
        <v>248</v>
      </c>
      <c r="D234" s="474">
        <v>3</v>
      </c>
      <c r="E234" s="474">
        <v>20</v>
      </c>
      <c r="F234" s="472">
        <v>45</v>
      </c>
      <c r="G234" s="472">
        <v>0</v>
      </c>
      <c r="H234" s="75"/>
      <c r="I234" s="474">
        <v>45</v>
      </c>
      <c r="J234" s="474">
        <v>1</v>
      </c>
      <c r="K234" s="474">
        <v>1</v>
      </c>
      <c r="L234" s="474">
        <v>60</v>
      </c>
      <c r="M234" s="75">
        <v>10985</v>
      </c>
      <c r="N234" s="75" t="s">
        <v>359</v>
      </c>
      <c r="O234" s="184" t="s">
        <v>155</v>
      </c>
      <c r="P234" s="117">
        <v>45</v>
      </c>
    </row>
    <row r="235" spans="1:16" ht="19.5" x14ac:dyDescent="0.2">
      <c r="A235" s="480"/>
      <c r="B235" s="480"/>
      <c r="C235" s="480"/>
      <c r="D235" s="478"/>
      <c r="E235" s="475"/>
      <c r="F235" s="480"/>
      <c r="G235" s="480"/>
      <c r="H235" s="118"/>
      <c r="I235" s="478"/>
      <c r="J235" s="475"/>
      <c r="K235" s="478"/>
      <c r="L235" s="478"/>
      <c r="M235" s="118"/>
      <c r="N235" s="118"/>
      <c r="O235" s="118"/>
      <c r="P235" s="119"/>
    </row>
    <row r="236" spans="1:16" ht="19.5" x14ac:dyDescent="0.2">
      <c r="A236" s="472">
        <v>2</v>
      </c>
      <c r="B236" s="472">
        <v>833006</v>
      </c>
      <c r="C236" s="472" t="s">
        <v>248</v>
      </c>
      <c r="D236" s="474">
        <v>3</v>
      </c>
      <c r="E236" s="474">
        <v>20</v>
      </c>
      <c r="F236" s="472">
        <v>45</v>
      </c>
      <c r="G236" s="472">
        <v>0</v>
      </c>
      <c r="H236" s="75"/>
      <c r="I236" s="474">
        <v>45</v>
      </c>
      <c r="J236" s="474">
        <v>1</v>
      </c>
      <c r="K236" s="474">
        <v>1</v>
      </c>
      <c r="L236" s="474">
        <v>60</v>
      </c>
      <c r="M236" s="75">
        <v>10985</v>
      </c>
      <c r="N236" s="75" t="s">
        <v>359</v>
      </c>
      <c r="O236" s="184" t="s">
        <v>155</v>
      </c>
      <c r="P236" s="117">
        <v>45</v>
      </c>
    </row>
    <row r="237" spans="1:16" ht="19.5" x14ac:dyDescent="0.2">
      <c r="A237" s="480"/>
      <c r="B237" s="480"/>
      <c r="C237" s="480"/>
      <c r="D237" s="478"/>
      <c r="E237" s="475"/>
      <c r="F237" s="480"/>
      <c r="G237" s="480"/>
      <c r="H237" s="118"/>
      <c r="I237" s="478"/>
      <c r="J237" s="475"/>
      <c r="K237" s="478"/>
      <c r="L237" s="478"/>
      <c r="M237" s="118"/>
      <c r="N237" s="118"/>
      <c r="O237" s="118"/>
      <c r="P237" s="119"/>
    </row>
    <row r="238" spans="1:16" ht="19.5" x14ac:dyDescent="0.2">
      <c r="A238" s="472">
        <v>3</v>
      </c>
      <c r="B238" s="472">
        <v>833006</v>
      </c>
      <c r="C238" s="472" t="s">
        <v>248</v>
      </c>
      <c r="D238" s="474">
        <v>3</v>
      </c>
      <c r="E238" s="474">
        <v>20</v>
      </c>
      <c r="F238" s="472">
        <v>45</v>
      </c>
      <c r="G238" s="472">
        <v>0</v>
      </c>
      <c r="H238" s="75"/>
      <c r="I238" s="474">
        <v>45</v>
      </c>
      <c r="J238" s="474">
        <v>1</v>
      </c>
      <c r="K238" s="474">
        <v>1</v>
      </c>
      <c r="L238" s="474">
        <v>60</v>
      </c>
      <c r="M238" s="75">
        <v>10933</v>
      </c>
      <c r="N238" s="75" t="s">
        <v>359</v>
      </c>
      <c r="O238" s="184" t="s">
        <v>193</v>
      </c>
      <c r="P238" s="117">
        <v>45</v>
      </c>
    </row>
    <row r="239" spans="1:16" ht="19.5" x14ac:dyDescent="0.2">
      <c r="A239" s="480"/>
      <c r="B239" s="480"/>
      <c r="C239" s="480"/>
      <c r="D239" s="478"/>
      <c r="E239" s="475"/>
      <c r="F239" s="480"/>
      <c r="G239" s="480"/>
      <c r="H239" s="118"/>
      <c r="I239" s="478"/>
      <c r="J239" s="475"/>
      <c r="K239" s="478"/>
      <c r="L239" s="478"/>
      <c r="M239" s="118"/>
      <c r="N239" s="118"/>
      <c r="O239" s="118"/>
      <c r="P239" s="119"/>
    </row>
    <row r="240" spans="1:16" ht="19.5" x14ac:dyDescent="0.2">
      <c r="A240" s="472">
        <v>4</v>
      </c>
      <c r="B240" s="472">
        <v>833006</v>
      </c>
      <c r="C240" s="472" t="s">
        <v>248</v>
      </c>
      <c r="D240" s="474">
        <v>3</v>
      </c>
      <c r="E240" s="474">
        <v>20</v>
      </c>
      <c r="F240" s="472">
        <v>45</v>
      </c>
      <c r="G240" s="472">
        <v>0</v>
      </c>
      <c r="H240" s="75"/>
      <c r="I240" s="474">
        <v>45</v>
      </c>
      <c r="J240" s="474">
        <v>1</v>
      </c>
      <c r="K240" s="474">
        <v>1</v>
      </c>
      <c r="L240" s="474">
        <v>60</v>
      </c>
      <c r="M240" s="75">
        <v>10898</v>
      </c>
      <c r="N240" s="75" t="s">
        <v>346</v>
      </c>
      <c r="O240" s="177" t="s">
        <v>188</v>
      </c>
      <c r="P240" s="117">
        <v>45</v>
      </c>
    </row>
    <row r="241" spans="1:16" ht="19.5" x14ac:dyDescent="0.2">
      <c r="A241" s="480"/>
      <c r="B241" s="480"/>
      <c r="C241" s="480"/>
      <c r="D241" s="478"/>
      <c r="E241" s="475"/>
      <c r="F241" s="480"/>
      <c r="G241" s="480"/>
      <c r="H241" s="118"/>
      <c r="I241" s="478"/>
      <c r="J241" s="475"/>
      <c r="K241" s="478"/>
      <c r="L241" s="478"/>
      <c r="M241" s="76"/>
      <c r="N241" s="76"/>
      <c r="O241" s="76"/>
      <c r="P241" s="120"/>
    </row>
    <row r="242" spans="1:16" ht="19.5" x14ac:dyDescent="0.2">
      <c r="A242" s="472">
        <v>5</v>
      </c>
      <c r="B242" s="472">
        <v>833006</v>
      </c>
      <c r="C242" s="472" t="s">
        <v>248</v>
      </c>
      <c r="D242" s="474">
        <v>3</v>
      </c>
      <c r="E242" s="474">
        <v>20</v>
      </c>
      <c r="F242" s="472">
        <v>45</v>
      </c>
      <c r="G242" s="472">
        <v>0</v>
      </c>
      <c r="H242" s="75"/>
      <c r="I242" s="474">
        <v>45</v>
      </c>
      <c r="J242" s="474">
        <v>1</v>
      </c>
      <c r="K242" s="474">
        <v>1</v>
      </c>
      <c r="L242" s="474">
        <v>60</v>
      </c>
      <c r="M242" s="75">
        <v>10903</v>
      </c>
      <c r="N242" s="75" t="s">
        <v>359</v>
      </c>
      <c r="O242" s="177" t="s">
        <v>161</v>
      </c>
      <c r="P242" s="117">
        <v>45</v>
      </c>
    </row>
    <row r="243" spans="1:16" ht="19.5" x14ac:dyDescent="0.2">
      <c r="A243" s="480"/>
      <c r="B243" s="480"/>
      <c r="C243" s="480"/>
      <c r="D243" s="478"/>
      <c r="E243" s="475"/>
      <c r="F243" s="480"/>
      <c r="G243" s="480"/>
      <c r="H243" s="118"/>
      <c r="I243" s="478"/>
      <c r="J243" s="475"/>
      <c r="K243" s="478"/>
      <c r="L243" s="478"/>
      <c r="M243" s="75"/>
      <c r="N243" s="75"/>
      <c r="O243" s="75"/>
      <c r="P243" s="117"/>
    </row>
    <row r="244" spans="1:16" ht="19.5" x14ac:dyDescent="0.2">
      <c r="A244" s="472">
        <v>6</v>
      </c>
      <c r="B244" s="472">
        <v>833006</v>
      </c>
      <c r="C244" s="472" t="s">
        <v>248</v>
      </c>
      <c r="D244" s="474">
        <v>3</v>
      </c>
      <c r="E244" s="474">
        <v>20</v>
      </c>
      <c r="F244" s="472">
        <v>45</v>
      </c>
      <c r="G244" s="472">
        <v>0</v>
      </c>
      <c r="H244" s="75"/>
      <c r="I244" s="474">
        <v>45</v>
      </c>
      <c r="J244" s="474">
        <v>1</v>
      </c>
      <c r="K244" s="474">
        <v>1</v>
      </c>
      <c r="L244" s="474">
        <v>60</v>
      </c>
      <c r="M244" s="75">
        <v>10903</v>
      </c>
      <c r="N244" s="75" t="s">
        <v>359</v>
      </c>
      <c r="O244" s="177" t="s">
        <v>161</v>
      </c>
      <c r="P244" s="117">
        <v>45</v>
      </c>
    </row>
    <row r="245" spans="1:16" ht="19.5" x14ac:dyDescent="0.2">
      <c r="A245" s="480"/>
      <c r="B245" s="480"/>
      <c r="C245" s="480"/>
      <c r="D245" s="478"/>
      <c r="E245" s="475"/>
      <c r="F245" s="480"/>
      <c r="G245" s="480"/>
      <c r="H245" s="118"/>
      <c r="I245" s="478"/>
      <c r="J245" s="475"/>
      <c r="K245" s="478"/>
      <c r="L245" s="478"/>
      <c r="M245" s="75"/>
      <c r="N245" s="75"/>
      <c r="O245" s="75"/>
      <c r="P245" s="117"/>
    </row>
    <row r="246" spans="1:16" ht="19.5" x14ac:dyDescent="0.2">
      <c r="A246" s="472">
        <v>7</v>
      </c>
      <c r="B246" s="472">
        <v>833006</v>
      </c>
      <c r="C246" s="472" t="s">
        <v>248</v>
      </c>
      <c r="D246" s="474">
        <v>3</v>
      </c>
      <c r="E246" s="474">
        <v>20</v>
      </c>
      <c r="F246" s="472">
        <v>45</v>
      </c>
      <c r="G246" s="472">
        <v>0</v>
      </c>
      <c r="H246" s="75"/>
      <c r="I246" s="474">
        <v>45</v>
      </c>
      <c r="J246" s="474">
        <v>1</v>
      </c>
      <c r="K246" s="474">
        <v>1</v>
      </c>
      <c r="L246" s="474">
        <v>60</v>
      </c>
      <c r="M246" s="75">
        <v>10903</v>
      </c>
      <c r="N246" s="75" t="s">
        <v>359</v>
      </c>
      <c r="O246" s="177" t="s">
        <v>161</v>
      </c>
      <c r="P246" s="117">
        <v>45</v>
      </c>
    </row>
    <row r="247" spans="1:16" ht="19.5" x14ac:dyDescent="0.2">
      <c r="A247" s="480"/>
      <c r="B247" s="480"/>
      <c r="C247" s="480"/>
      <c r="D247" s="478"/>
      <c r="E247" s="475"/>
      <c r="F247" s="480"/>
      <c r="G247" s="480"/>
      <c r="H247" s="118"/>
      <c r="I247" s="478"/>
      <c r="J247" s="475"/>
      <c r="K247" s="478"/>
      <c r="L247" s="478"/>
      <c r="M247" s="75"/>
      <c r="N247" s="75"/>
      <c r="O247" s="75"/>
      <c r="P247" s="117"/>
    </row>
    <row r="248" spans="1:16" ht="19.5" x14ac:dyDescent="0.2">
      <c r="A248" s="472">
        <v>8</v>
      </c>
      <c r="B248" s="472">
        <v>833006</v>
      </c>
      <c r="C248" s="472" t="s">
        <v>248</v>
      </c>
      <c r="D248" s="474">
        <v>3</v>
      </c>
      <c r="E248" s="474">
        <v>20</v>
      </c>
      <c r="F248" s="472">
        <v>45</v>
      </c>
      <c r="G248" s="472">
        <v>0</v>
      </c>
      <c r="H248" s="75"/>
      <c r="I248" s="474">
        <v>45</v>
      </c>
      <c r="J248" s="474">
        <v>1</v>
      </c>
      <c r="K248" s="474">
        <v>1</v>
      </c>
      <c r="L248" s="474">
        <v>60</v>
      </c>
      <c r="M248" s="75">
        <v>11107</v>
      </c>
      <c r="N248" s="75" t="s">
        <v>359</v>
      </c>
      <c r="O248" s="75" t="s">
        <v>177</v>
      </c>
      <c r="P248" s="117">
        <v>45</v>
      </c>
    </row>
    <row r="249" spans="1:16" ht="19.5" x14ac:dyDescent="0.2">
      <c r="A249" s="480"/>
      <c r="B249" s="480"/>
      <c r="C249" s="480"/>
      <c r="D249" s="478"/>
      <c r="E249" s="475"/>
      <c r="F249" s="480"/>
      <c r="G249" s="480"/>
      <c r="H249" s="118"/>
      <c r="I249" s="478"/>
      <c r="J249" s="475"/>
      <c r="K249" s="478"/>
      <c r="L249" s="478"/>
      <c r="M249" s="118"/>
      <c r="N249" s="118"/>
      <c r="O249" s="118"/>
      <c r="P249" s="119"/>
    </row>
    <row r="250" spans="1:16" ht="19.5" x14ac:dyDescent="0.2">
      <c r="A250" s="472">
        <v>9</v>
      </c>
      <c r="B250" s="472">
        <v>833006</v>
      </c>
      <c r="C250" s="472" t="s">
        <v>248</v>
      </c>
      <c r="D250" s="474">
        <v>3</v>
      </c>
      <c r="E250" s="474">
        <v>20</v>
      </c>
      <c r="F250" s="472">
        <v>45</v>
      </c>
      <c r="G250" s="472">
        <v>0</v>
      </c>
      <c r="H250" s="75"/>
      <c r="I250" s="474">
        <v>45</v>
      </c>
      <c r="J250" s="474">
        <v>1</v>
      </c>
      <c r="K250" s="474">
        <v>1</v>
      </c>
      <c r="L250" s="474">
        <v>60</v>
      </c>
      <c r="M250" s="75">
        <v>11107</v>
      </c>
      <c r="N250" s="75" t="s">
        <v>359</v>
      </c>
      <c r="O250" s="75" t="s">
        <v>177</v>
      </c>
      <c r="P250" s="117">
        <v>45</v>
      </c>
    </row>
    <row r="251" spans="1:16" ht="19.5" x14ac:dyDescent="0.2">
      <c r="A251" s="480"/>
      <c r="B251" s="480"/>
      <c r="C251" s="480"/>
      <c r="D251" s="478"/>
      <c r="E251" s="475"/>
      <c r="F251" s="480"/>
      <c r="G251" s="480"/>
      <c r="H251" s="118"/>
      <c r="I251" s="478"/>
      <c r="J251" s="475"/>
      <c r="K251" s="478"/>
      <c r="L251" s="478"/>
      <c r="M251" s="118"/>
      <c r="N251" s="118"/>
      <c r="O251" s="118"/>
      <c r="P251" s="119"/>
    </row>
    <row r="252" spans="1:16" ht="19.5" x14ac:dyDescent="0.2">
      <c r="A252" s="472">
        <v>1</v>
      </c>
      <c r="B252" s="472">
        <v>832006</v>
      </c>
      <c r="C252" s="472" t="s">
        <v>334</v>
      </c>
      <c r="D252" s="474">
        <v>3</v>
      </c>
      <c r="E252" s="474">
        <v>20</v>
      </c>
      <c r="F252" s="472">
        <v>45</v>
      </c>
      <c r="G252" s="472">
        <v>0</v>
      </c>
      <c r="H252" s="75"/>
      <c r="I252" s="474">
        <v>45</v>
      </c>
      <c r="J252" s="474">
        <v>1</v>
      </c>
      <c r="K252" s="474">
        <v>1</v>
      </c>
      <c r="L252" s="474" t="s">
        <v>335</v>
      </c>
      <c r="M252" s="75">
        <v>10898</v>
      </c>
      <c r="N252" s="75" t="s">
        <v>346</v>
      </c>
      <c r="O252" s="75" t="s">
        <v>188</v>
      </c>
      <c r="P252" s="117">
        <v>45</v>
      </c>
    </row>
    <row r="253" spans="1:16" ht="19.5" x14ac:dyDescent="0.2">
      <c r="A253" s="480"/>
      <c r="B253" s="480"/>
      <c r="C253" s="480"/>
      <c r="D253" s="478"/>
      <c r="E253" s="475"/>
      <c r="F253" s="480"/>
      <c r="G253" s="480"/>
      <c r="H253" s="118"/>
      <c r="I253" s="478"/>
      <c r="J253" s="475"/>
      <c r="K253" s="478"/>
      <c r="L253" s="478"/>
      <c r="M253" s="76"/>
      <c r="N253" s="76"/>
      <c r="O253" s="76"/>
      <c r="P253" s="120"/>
    </row>
    <row r="254" spans="1:16" ht="19.5" x14ac:dyDescent="0.2">
      <c r="A254" s="472">
        <v>2</v>
      </c>
      <c r="B254" s="472">
        <v>832006</v>
      </c>
      <c r="C254" s="472" t="s">
        <v>334</v>
      </c>
      <c r="D254" s="474">
        <v>3</v>
      </c>
      <c r="E254" s="474">
        <v>20</v>
      </c>
      <c r="F254" s="472">
        <v>45</v>
      </c>
      <c r="G254" s="472">
        <v>0</v>
      </c>
      <c r="H254" s="75"/>
      <c r="I254" s="474">
        <v>45</v>
      </c>
      <c r="J254" s="474">
        <v>1</v>
      </c>
      <c r="K254" s="474">
        <v>1</v>
      </c>
      <c r="L254" s="474" t="s">
        <v>335</v>
      </c>
      <c r="M254" s="75">
        <v>11006</v>
      </c>
      <c r="N254" s="75" t="s">
        <v>346</v>
      </c>
      <c r="O254" s="184" t="s">
        <v>186</v>
      </c>
      <c r="P254" s="117">
        <v>45</v>
      </c>
    </row>
    <row r="255" spans="1:16" ht="19.5" x14ac:dyDescent="0.2">
      <c r="A255" s="480"/>
      <c r="B255" s="480"/>
      <c r="C255" s="480"/>
      <c r="D255" s="478"/>
      <c r="E255" s="475"/>
      <c r="F255" s="480"/>
      <c r="G255" s="480"/>
      <c r="H255" s="118"/>
      <c r="I255" s="478"/>
      <c r="J255" s="475"/>
      <c r="K255" s="478"/>
      <c r="L255" s="478"/>
      <c r="M255" s="75"/>
      <c r="N255" s="75"/>
      <c r="O255" s="75"/>
      <c r="P255" s="117"/>
    </row>
    <row r="256" spans="1:16" ht="19.5" x14ac:dyDescent="0.2">
      <c r="A256" s="472">
        <v>3</v>
      </c>
      <c r="B256" s="472">
        <v>832006</v>
      </c>
      <c r="C256" s="472" t="s">
        <v>334</v>
      </c>
      <c r="D256" s="474">
        <v>3</v>
      </c>
      <c r="E256" s="474">
        <v>20</v>
      </c>
      <c r="F256" s="472">
        <v>45</v>
      </c>
      <c r="G256" s="472">
        <v>0</v>
      </c>
      <c r="H256" s="75"/>
      <c r="I256" s="474">
        <v>45</v>
      </c>
      <c r="J256" s="474">
        <v>1</v>
      </c>
      <c r="K256" s="474">
        <v>1</v>
      </c>
      <c r="L256" s="474" t="s">
        <v>335</v>
      </c>
      <c r="M256" s="75">
        <v>10154</v>
      </c>
      <c r="N256" s="75" t="s">
        <v>346</v>
      </c>
      <c r="O256" s="75" t="s">
        <v>157</v>
      </c>
      <c r="P256" s="117">
        <v>45</v>
      </c>
    </row>
    <row r="257" spans="1:16" ht="19.5" x14ac:dyDescent="0.2">
      <c r="A257" s="480"/>
      <c r="B257" s="480"/>
      <c r="C257" s="480"/>
      <c r="D257" s="478"/>
      <c r="E257" s="475"/>
      <c r="F257" s="480"/>
      <c r="G257" s="480"/>
      <c r="H257" s="118"/>
      <c r="I257" s="478"/>
      <c r="J257" s="475"/>
      <c r="K257" s="478"/>
      <c r="L257" s="478"/>
      <c r="M257" s="75"/>
      <c r="N257" s="75"/>
      <c r="O257" s="75"/>
      <c r="P257" s="117"/>
    </row>
    <row r="258" spans="1:16" ht="19.5" x14ac:dyDescent="0.2">
      <c r="A258" s="472">
        <v>4</v>
      </c>
      <c r="B258" s="472">
        <v>832006</v>
      </c>
      <c r="C258" s="472" t="s">
        <v>334</v>
      </c>
      <c r="D258" s="474">
        <v>3</v>
      </c>
      <c r="E258" s="474">
        <v>20</v>
      </c>
      <c r="F258" s="472">
        <v>45</v>
      </c>
      <c r="G258" s="472">
        <v>0</v>
      </c>
      <c r="H258" s="75"/>
      <c r="I258" s="474">
        <v>45</v>
      </c>
      <c r="J258" s="474">
        <v>1</v>
      </c>
      <c r="K258" s="474">
        <v>1</v>
      </c>
      <c r="L258" s="474" t="s">
        <v>335</v>
      </c>
      <c r="M258" s="75">
        <v>11107</v>
      </c>
      <c r="N258" s="75" t="s">
        <v>359</v>
      </c>
      <c r="O258" s="75" t="s">
        <v>177</v>
      </c>
      <c r="P258" s="117">
        <v>45</v>
      </c>
    </row>
    <row r="259" spans="1:16" ht="19.5" x14ac:dyDescent="0.2">
      <c r="A259" s="480"/>
      <c r="B259" s="480"/>
      <c r="C259" s="480"/>
      <c r="D259" s="478"/>
      <c r="E259" s="475"/>
      <c r="F259" s="480"/>
      <c r="G259" s="480"/>
      <c r="H259" s="118"/>
      <c r="I259" s="478"/>
      <c r="J259" s="475"/>
      <c r="K259" s="478"/>
      <c r="L259" s="478"/>
      <c r="M259" s="75"/>
      <c r="N259" s="75"/>
      <c r="O259" s="75"/>
      <c r="P259" s="117"/>
    </row>
    <row r="260" spans="1:16" ht="39" x14ac:dyDescent="0.2">
      <c r="A260" s="472">
        <v>5</v>
      </c>
      <c r="B260" s="472">
        <v>832006</v>
      </c>
      <c r="C260" s="472" t="s">
        <v>334</v>
      </c>
      <c r="D260" s="474">
        <v>3</v>
      </c>
      <c r="E260" s="474">
        <v>20</v>
      </c>
      <c r="F260" s="472">
        <v>45</v>
      </c>
      <c r="G260" s="472">
        <v>0</v>
      </c>
      <c r="H260" s="75"/>
      <c r="I260" s="474">
        <v>45</v>
      </c>
      <c r="J260" s="474">
        <v>1</v>
      </c>
      <c r="K260" s="474">
        <v>1</v>
      </c>
      <c r="L260" s="474" t="s">
        <v>335</v>
      </c>
      <c r="M260" s="75">
        <v>10873</v>
      </c>
      <c r="N260" s="75" t="s">
        <v>360</v>
      </c>
      <c r="O260" s="75" t="s">
        <v>189</v>
      </c>
      <c r="P260" s="117">
        <v>45</v>
      </c>
    </row>
    <row r="261" spans="1:16" ht="19.5" x14ac:dyDescent="0.2">
      <c r="A261" s="480"/>
      <c r="B261" s="480"/>
      <c r="C261" s="480"/>
      <c r="D261" s="478"/>
      <c r="E261" s="475"/>
      <c r="F261" s="480"/>
      <c r="G261" s="480"/>
      <c r="H261" s="118"/>
      <c r="I261" s="478"/>
      <c r="J261" s="475"/>
      <c r="K261" s="478"/>
      <c r="L261" s="478"/>
      <c r="M261" s="118"/>
      <c r="N261" s="118"/>
      <c r="O261" s="118"/>
      <c r="P261" s="119"/>
    </row>
    <row r="262" spans="1:16" ht="39" x14ac:dyDescent="0.2">
      <c r="A262" s="472">
        <v>6</v>
      </c>
      <c r="B262" s="472">
        <v>832006</v>
      </c>
      <c r="C262" s="472" t="s">
        <v>334</v>
      </c>
      <c r="D262" s="474">
        <v>3</v>
      </c>
      <c r="E262" s="474">
        <v>20</v>
      </c>
      <c r="F262" s="472">
        <v>45</v>
      </c>
      <c r="G262" s="472">
        <v>0</v>
      </c>
      <c r="H262" s="75"/>
      <c r="I262" s="474">
        <v>45</v>
      </c>
      <c r="J262" s="474">
        <v>1</v>
      </c>
      <c r="K262" s="474">
        <v>1</v>
      </c>
      <c r="L262" s="474" t="s">
        <v>335</v>
      </c>
      <c r="M262" s="75">
        <v>10936</v>
      </c>
      <c r="N262" s="75" t="s">
        <v>360</v>
      </c>
      <c r="O262" s="75" t="s">
        <v>219</v>
      </c>
      <c r="P262" s="117">
        <v>45</v>
      </c>
    </row>
    <row r="263" spans="1:16" ht="19.5" x14ac:dyDescent="0.2">
      <c r="A263" s="480"/>
      <c r="B263" s="480"/>
      <c r="C263" s="480"/>
      <c r="D263" s="478"/>
      <c r="E263" s="475"/>
      <c r="F263" s="480"/>
      <c r="G263" s="480"/>
      <c r="H263" s="118"/>
      <c r="I263" s="478"/>
      <c r="J263" s="475"/>
      <c r="K263" s="478"/>
      <c r="L263" s="478"/>
      <c r="M263" s="118"/>
      <c r="N263" s="118"/>
      <c r="O263" s="118"/>
      <c r="P263" s="119"/>
    </row>
    <row r="264" spans="1:16" ht="39" x14ac:dyDescent="0.2">
      <c r="A264" s="472">
        <v>7</v>
      </c>
      <c r="B264" s="472">
        <v>832006</v>
      </c>
      <c r="C264" s="472" t="s">
        <v>334</v>
      </c>
      <c r="D264" s="474">
        <v>3</v>
      </c>
      <c r="E264" s="474">
        <v>20</v>
      </c>
      <c r="F264" s="472">
        <v>45</v>
      </c>
      <c r="G264" s="472">
        <v>0</v>
      </c>
      <c r="H264" s="75"/>
      <c r="I264" s="474">
        <v>45</v>
      </c>
      <c r="J264" s="474">
        <v>1</v>
      </c>
      <c r="K264" s="474">
        <v>1</v>
      </c>
      <c r="L264" s="474" t="s">
        <v>335</v>
      </c>
      <c r="M264" s="75">
        <v>10936</v>
      </c>
      <c r="N264" s="75" t="s">
        <v>360</v>
      </c>
      <c r="O264" s="75" t="s">
        <v>219</v>
      </c>
      <c r="P264" s="117">
        <v>45</v>
      </c>
    </row>
    <row r="265" spans="1:16" ht="19.5" x14ac:dyDescent="0.2">
      <c r="A265" s="480"/>
      <c r="B265" s="480"/>
      <c r="C265" s="480"/>
      <c r="D265" s="478"/>
      <c r="E265" s="475"/>
      <c r="F265" s="480"/>
      <c r="G265" s="480"/>
      <c r="H265" s="118"/>
      <c r="I265" s="478"/>
      <c r="J265" s="475"/>
      <c r="K265" s="478"/>
      <c r="L265" s="478"/>
      <c r="M265" s="76"/>
      <c r="N265" s="76"/>
      <c r="O265" s="76"/>
      <c r="P265" s="120"/>
    </row>
    <row r="266" spans="1:16" ht="19.5" x14ac:dyDescent="0.2">
      <c r="A266" s="472">
        <v>8</v>
      </c>
      <c r="B266" s="472">
        <v>832006</v>
      </c>
      <c r="C266" s="472" t="s">
        <v>334</v>
      </c>
      <c r="D266" s="474">
        <v>3</v>
      </c>
      <c r="E266" s="474">
        <v>20</v>
      </c>
      <c r="F266" s="472">
        <v>45</v>
      </c>
      <c r="G266" s="472">
        <v>0</v>
      </c>
      <c r="H266" s="75"/>
      <c r="I266" s="474">
        <v>45</v>
      </c>
      <c r="J266" s="474">
        <v>1</v>
      </c>
      <c r="K266" s="474">
        <v>1</v>
      </c>
      <c r="L266" s="474" t="s">
        <v>335</v>
      </c>
      <c r="M266" s="75">
        <v>10898</v>
      </c>
      <c r="N266" s="75" t="s">
        <v>346</v>
      </c>
      <c r="O266" s="177" t="s">
        <v>188</v>
      </c>
      <c r="P266" s="117">
        <v>45</v>
      </c>
    </row>
    <row r="267" spans="1:16" ht="19.5" x14ac:dyDescent="0.2">
      <c r="A267" s="480"/>
      <c r="B267" s="480"/>
      <c r="C267" s="480"/>
      <c r="D267" s="478"/>
      <c r="E267" s="475"/>
      <c r="F267" s="480"/>
      <c r="G267" s="480"/>
      <c r="H267" s="118"/>
      <c r="I267" s="478"/>
      <c r="J267" s="475"/>
      <c r="K267" s="478"/>
      <c r="L267" s="478"/>
      <c r="M267" s="75"/>
      <c r="N267" s="75"/>
      <c r="O267" s="75"/>
      <c r="P267" s="117"/>
    </row>
    <row r="268" spans="1:16" ht="19.5" x14ac:dyDescent="0.2">
      <c r="A268" s="472">
        <v>9</v>
      </c>
      <c r="B268" s="472">
        <v>832006</v>
      </c>
      <c r="C268" s="472" t="s">
        <v>334</v>
      </c>
      <c r="D268" s="474">
        <v>3</v>
      </c>
      <c r="E268" s="474">
        <v>20</v>
      </c>
      <c r="F268" s="472">
        <v>45</v>
      </c>
      <c r="G268" s="472">
        <v>0</v>
      </c>
      <c r="H268" s="75"/>
      <c r="I268" s="474">
        <v>45</v>
      </c>
      <c r="J268" s="474">
        <v>1</v>
      </c>
      <c r="K268" s="474">
        <v>1</v>
      </c>
      <c r="L268" s="474" t="s">
        <v>335</v>
      </c>
      <c r="M268" s="75">
        <v>10898</v>
      </c>
      <c r="N268" s="75" t="s">
        <v>346</v>
      </c>
      <c r="O268" s="177" t="s">
        <v>188</v>
      </c>
      <c r="P268" s="117">
        <v>45</v>
      </c>
    </row>
    <row r="269" spans="1:16" ht="19.5" x14ac:dyDescent="0.2">
      <c r="A269" s="480"/>
      <c r="B269" s="480"/>
      <c r="C269" s="480"/>
      <c r="D269" s="478"/>
      <c r="E269" s="475"/>
      <c r="F269" s="480"/>
      <c r="G269" s="480"/>
      <c r="H269" s="118"/>
      <c r="I269" s="478"/>
      <c r="J269" s="475"/>
      <c r="K269" s="478"/>
      <c r="L269" s="478"/>
      <c r="M269" s="75"/>
      <c r="N269" s="75"/>
      <c r="O269" s="75"/>
      <c r="P269" s="117"/>
    </row>
    <row r="270" spans="1:16" ht="19.5" x14ac:dyDescent="0.2">
      <c r="A270" s="472">
        <v>10</v>
      </c>
      <c r="B270" s="472">
        <v>832006</v>
      </c>
      <c r="C270" s="472" t="s">
        <v>334</v>
      </c>
      <c r="D270" s="474">
        <v>3</v>
      </c>
      <c r="E270" s="474">
        <v>20</v>
      </c>
      <c r="F270" s="472">
        <v>45</v>
      </c>
      <c r="G270" s="472">
        <v>0</v>
      </c>
      <c r="H270" s="75"/>
      <c r="I270" s="474">
        <v>45</v>
      </c>
      <c r="J270" s="474">
        <v>1</v>
      </c>
      <c r="K270" s="474">
        <v>1</v>
      </c>
      <c r="L270" s="474" t="s">
        <v>335</v>
      </c>
      <c r="M270" s="75">
        <v>11006</v>
      </c>
      <c r="N270" s="75" t="s">
        <v>346</v>
      </c>
      <c r="O270" s="177" t="s">
        <v>186</v>
      </c>
      <c r="P270" s="117">
        <v>45</v>
      </c>
    </row>
    <row r="271" spans="1:16" ht="19.5" x14ac:dyDescent="0.2">
      <c r="A271" s="480"/>
      <c r="B271" s="480"/>
      <c r="C271" s="480"/>
      <c r="D271" s="478"/>
      <c r="E271" s="475"/>
      <c r="F271" s="480"/>
      <c r="G271" s="480"/>
      <c r="H271" s="118"/>
      <c r="I271" s="478"/>
      <c r="J271" s="475"/>
      <c r="K271" s="478"/>
      <c r="L271" s="478"/>
      <c r="M271" s="75"/>
      <c r="N271" s="75"/>
      <c r="O271" s="75"/>
      <c r="P271" s="117"/>
    </row>
    <row r="272" spans="1:16" ht="19.5" x14ac:dyDescent="0.2">
      <c r="A272" s="472">
        <v>11</v>
      </c>
      <c r="B272" s="472">
        <v>832006</v>
      </c>
      <c r="C272" s="472" t="s">
        <v>334</v>
      </c>
      <c r="D272" s="474">
        <v>3</v>
      </c>
      <c r="E272" s="474">
        <v>20</v>
      </c>
      <c r="F272" s="472">
        <v>45</v>
      </c>
      <c r="G272" s="472">
        <v>0</v>
      </c>
      <c r="H272" s="75"/>
      <c r="I272" s="474">
        <v>45</v>
      </c>
      <c r="J272" s="474">
        <v>1</v>
      </c>
      <c r="K272" s="474">
        <v>1</v>
      </c>
      <c r="L272" s="474" t="s">
        <v>335</v>
      </c>
      <c r="M272" s="75">
        <v>11006</v>
      </c>
      <c r="N272" s="75" t="s">
        <v>346</v>
      </c>
      <c r="O272" s="75" t="s">
        <v>186</v>
      </c>
      <c r="P272" s="117">
        <v>45</v>
      </c>
    </row>
    <row r="273" spans="1:16" ht="19.5" x14ac:dyDescent="0.2">
      <c r="A273" s="480"/>
      <c r="B273" s="480"/>
      <c r="C273" s="480"/>
      <c r="D273" s="478"/>
      <c r="E273" s="475"/>
      <c r="F273" s="480"/>
      <c r="G273" s="480"/>
      <c r="H273" s="118"/>
      <c r="I273" s="478"/>
      <c r="J273" s="475"/>
      <c r="K273" s="478"/>
      <c r="L273" s="478"/>
      <c r="M273" s="118"/>
      <c r="N273" s="118"/>
      <c r="O273" s="118"/>
      <c r="P273" s="119"/>
    </row>
    <row r="274" spans="1:16" ht="19.5" x14ac:dyDescent="0.2">
      <c r="A274" s="472"/>
      <c r="B274" s="472">
        <v>803301</v>
      </c>
      <c r="C274" s="472" t="s">
        <v>242</v>
      </c>
      <c r="D274" s="474">
        <v>4</v>
      </c>
      <c r="E274" s="474"/>
      <c r="F274" s="472"/>
      <c r="G274" s="472"/>
      <c r="H274" s="75"/>
      <c r="I274" s="474">
        <v>60</v>
      </c>
      <c r="J274" s="474"/>
      <c r="K274" s="474"/>
      <c r="L274" s="474"/>
      <c r="M274" s="75">
        <v>10898</v>
      </c>
      <c r="N274" s="75" t="s">
        <v>346</v>
      </c>
      <c r="O274" s="75" t="s">
        <v>188</v>
      </c>
      <c r="P274" s="117">
        <v>60</v>
      </c>
    </row>
    <row r="275" spans="1:16" ht="19.5" x14ac:dyDescent="0.2">
      <c r="A275" s="480"/>
      <c r="B275" s="480"/>
      <c r="C275" s="480"/>
      <c r="D275" s="478"/>
      <c r="E275" s="475"/>
      <c r="F275" s="480"/>
      <c r="G275" s="480"/>
      <c r="H275" s="118"/>
      <c r="I275" s="478"/>
      <c r="J275" s="475"/>
      <c r="K275" s="478"/>
      <c r="L275" s="478"/>
      <c r="M275" s="118"/>
      <c r="N275" s="118"/>
      <c r="O275" s="118"/>
      <c r="P275" s="119"/>
    </row>
    <row r="276" spans="1:16" ht="19.5" x14ac:dyDescent="0.2">
      <c r="A276" s="472"/>
      <c r="B276" s="472">
        <v>821402</v>
      </c>
      <c r="C276" s="474" t="s">
        <v>340</v>
      </c>
      <c r="D276" s="474">
        <v>3</v>
      </c>
      <c r="E276" s="474"/>
      <c r="F276" s="472"/>
      <c r="G276" s="472"/>
      <c r="H276" s="75"/>
      <c r="I276" s="474">
        <v>45</v>
      </c>
      <c r="J276" s="474"/>
      <c r="K276" s="474"/>
      <c r="L276" s="474"/>
      <c r="M276" s="75">
        <v>11053</v>
      </c>
      <c r="N276" s="75" t="s">
        <v>346</v>
      </c>
      <c r="O276" s="184" t="s">
        <v>209</v>
      </c>
      <c r="P276" s="117">
        <v>45</v>
      </c>
    </row>
    <row r="277" spans="1:16" ht="19.5" x14ac:dyDescent="0.2">
      <c r="A277" s="480"/>
      <c r="B277" s="480"/>
      <c r="C277" s="478"/>
      <c r="D277" s="478"/>
      <c r="E277" s="475"/>
      <c r="F277" s="480"/>
      <c r="G277" s="480"/>
      <c r="H277" s="118"/>
      <c r="I277" s="478"/>
      <c r="J277" s="475"/>
      <c r="K277" s="478"/>
      <c r="L277" s="478"/>
      <c r="M277" s="76"/>
      <c r="N277" s="76"/>
      <c r="O277" s="76"/>
      <c r="P277" s="120"/>
    </row>
    <row r="278" spans="1:16" ht="19.5" x14ac:dyDescent="0.2">
      <c r="A278" s="472"/>
      <c r="B278" s="472">
        <v>821403</v>
      </c>
      <c r="C278" s="474" t="s">
        <v>341</v>
      </c>
      <c r="D278" s="474">
        <v>2</v>
      </c>
      <c r="E278" s="474"/>
      <c r="F278" s="472"/>
      <c r="G278" s="472"/>
      <c r="H278" s="75"/>
      <c r="I278" s="474">
        <v>30</v>
      </c>
      <c r="J278" s="474"/>
      <c r="K278" s="474"/>
      <c r="L278" s="474"/>
      <c r="M278" s="296">
        <v>10986</v>
      </c>
      <c r="N278" s="296" t="s">
        <v>359</v>
      </c>
      <c r="O278" s="296" t="s">
        <v>180</v>
      </c>
      <c r="P278" s="297">
        <v>30</v>
      </c>
    </row>
    <row r="279" spans="1:16" ht="19.5" x14ac:dyDescent="0.2">
      <c r="A279" s="480"/>
      <c r="B279" s="480"/>
      <c r="C279" s="478"/>
      <c r="D279" s="478"/>
      <c r="E279" s="475"/>
      <c r="F279" s="480"/>
      <c r="G279" s="480"/>
      <c r="H279" s="118"/>
      <c r="I279" s="478"/>
      <c r="J279" s="475"/>
      <c r="K279" s="478"/>
      <c r="L279" s="478"/>
      <c r="M279" s="298"/>
      <c r="N279" s="298"/>
      <c r="O279" s="298"/>
      <c r="P279" s="299"/>
    </row>
    <row r="280" spans="1:16" ht="19.5" x14ac:dyDescent="0.2">
      <c r="A280" s="472"/>
      <c r="B280" s="472"/>
      <c r="C280" s="472"/>
      <c r="D280" s="474"/>
      <c r="E280" s="474"/>
      <c r="F280" s="472"/>
      <c r="G280" s="472"/>
      <c r="H280" s="75"/>
      <c r="I280" s="474"/>
      <c r="J280" s="474"/>
      <c r="K280" s="474"/>
      <c r="L280" s="474"/>
      <c r="M280" s="75"/>
      <c r="N280" s="75"/>
      <c r="O280" s="177"/>
      <c r="P280" s="117"/>
    </row>
    <row r="281" spans="1:16" ht="19.5" x14ac:dyDescent="0.2">
      <c r="A281" s="480"/>
      <c r="B281" s="480"/>
      <c r="C281" s="480"/>
      <c r="D281" s="478"/>
      <c r="E281" s="475"/>
      <c r="F281" s="480"/>
      <c r="G281" s="480"/>
      <c r="H281" s="118"/>
      <c r="I281" s="478"/>
      <c r="J281" s="475"/>
      <c r="K281" s="478"/>
      <c r="L281" s="478"/>
      <c r="M281" s="75"/>
      <c r="N281" s="75"/>
      <c r="O281" s="75"/>
      <c r="P281" s="117"/>
    </row>
    <row r="282" spans="1:16" ht="19.5" x14ac:dyDescent="0.2">
      <c r="A282" s="472"/>
      <c r="B282" s="472"/>
      <c r="C282" s="472"/>
      <c r="D282" s="474"/>
      <c r="E282" s="474"/>
      <c r="F282" s="472"/>
      <c r="G282" s="472"/>
      <c r="H282" s="75"/>
      <c r="I282" s="474"/>
      <c r="J282" s="474"/>
      <c r="K282" s="474"/>
      <c r="L282" s="474"/>
      <c r="M282" s="75"/>
      <c r="N282" s="75"/>
      <c r="O282" s="177"/>
      <c r="P282" s="117"/>
    </row>
    <row r="283" spans="1:16" ht="19.5" x14ac:dyDescent="0.2">
      <c r="A283" s="480"/>
      <c r="B283" s="480"/>
      <c r="C283" s="480"/>
      <c r="D283" s="478"/>
      <c r="E283" s="475"/>
      <c r="F283" s="480"/>
      <c r="G283" s="480"/>
      <c r="H283" s="118"/>
      <c r="I283" s="478"/>
      <c r="J283" s="475"/>
      <c r="K283" s="478"/>
      <c r="L283" s="478"/>
      <c r="M283" s="75"/>
      <c r="N283" s="75"/>
      <c r="O283" s="75"/>
      <c r="P283" s="117"/>
    </row>
    <row r="284" spans="1:16" ht="19.5" x14ac:dyDescent="0.25">
      <c r="A284" s="525" t="s">
        <v>53</v>
      </c>
      <c r="B284" s="525"/>
      <c r="C284" s="525"/>
      <c r="D284" s="525"/>
      <c r="E284" s="525"/>
      <c r="F284" s="525"/>
      <c r="G284" s="525"/>
      <c r="H284" s="525"/>
      <c r="I284" s="525"/>
      <c r="J284" s="525"/>
      <c r="K284" s="525"/>
      <c r="L284" s="525"/>
      <c r="M284" s="215"/>
      <c r="N284" s="215"/>
      <c r="O284" s="215"/>
      <c r="P284" s="216"/>
    </row>
    <row r="285" spans="1:16" ht="19.5" x14ac:dyDescent="0.25">
      <c r="A285" s="524" t="s">
        <v>54</v>
      </c>
      <c r="B285" s="525"/>
      <c r="C285" s="215"/>
      <c r="D285" s="215"/>
      <c r="E285" s="215"/>
      <c r="F285" s="215"/>
      <c r="G285" s="215"/>
      <c r="H285" s="215"/>
      <c r="I285" s="215"/>
      <c r="J285" s="215"/>
      <c r="K285" s="215"/>
      <c r="L285" s="213"/>
      <c r="M285" s="213"/>
      <c r="N285" s="213"/>
      <c r="O285" s="213"/>
      <c r="P285" s="213"/>
    </row>
    <row r="286" spans="1:16" ht="19.5" x14ac:dyDescent="0.3">
      <c r="A286" s="114"/>
      <c r="B286" s="114"/>
      <c r="C286" s="114"/>
      <c r="D286" s="114"/>
      <c r="E286" s="114"/>
      <c r="F286" s="114"/>
      <c r="G286" s="114"/>
      <c r="H286" s="114"/>
      <c r="I286" s="114"/>
      <c r="J286" s="114"/>
      <c r="K286" s="526" t="s">
        <v>94</v>
      </c>
      <c r="L286" s="526"/>
      <c r="M286" s="526"/>
      <c r="N286" s="526"/>
      <c r="O286" s="526"/>
      <c r="P286" s="213"/>
    </row>
    <row r="287" spans="1:16" ht="18.75" x14ac:dyDescent="0.25">
      <c r="A287" s="114"/>
      <c r="B287" s="114"/>
      <c r="C287" s="114"/>
      <c r="D287" s="114"/>
      <c r="E287" s="114"/>
      <c r="F287" s="114"/>
      <c r="G287" s="114"/>
      <c r="H287" s="114"/>
      <c r="I287" s="114"/>
      <c r="J287" s="114"/>
      <c r="K287" s="213"/>
      <c r="L287" s="213"/>
      <c r="M287" s="213"/>
      <c r="N287" s="213"/>
      <c r="O287" s="213"/>
      <c r="P287" s="217"/>
    </row>
    <row r="288" spans="1:16" ht="18" x14ac:dyDescent="0.25">
      <c r="A288" s="115"/>
      <c r="B288" s="115"/>
      <c r="C288" s="233" t="s">
        <v>303</v>
      </c>
      <c r="D288" s="115"/>
      <c r="E288" s="115"/>
      <c r="F288" s="115"/>
      <c r="G288" s="115"/>
      <c r="H288" s="115"/>
      <c r="I288" s="115"/>
      <c r="J288" s="115"/>
      <c r="K288" s="218"/>
      <c r="L288" s="218"/>
      <c r="M288" s="218"/>
      <c r="N288" s="218"/>
      <c r="O288" s="218"/>
      <c r="P288" s="115"/>
    </row>
    <row r="289" spans="1:16" ht="18" x14ac:dyDescent="0.25">
      <c r="A289" s="115"/>
      <c r="B289" s="115"/>
      <c r="C289" s="234" t="s">
        <v>142</v>
      </c>
      <c r="D289" s="115"/>
      <c r="E289" s="115"/>
      <c r="F289" s="115"/>
      <c r="G289" s="115"/>
      <c r="H289" s="115"/>
      <c r="I289" s="115"/>
      <c r="J289" s="115"/>
      <c r="K289" s="218"/>
      <c r="L289" s="218"/>
      <c r="M289" s="218"/>
      <c r="N289" s="218"/>
      <c r="O289" s="218"/>
      <c r="P289" s="115"/>
    </row>
    <row r="290" spans="1:16" ht="18" x14ac:dyDescent="0.25">
      <c r="A290" s="115"/>
      <c r="B290" s="115"/>
      <c r="C290" s="235" t="s">
        <v>304</v>
      </c>
      <c r="D290" s="115"/>
      <c r="E290" s="115"/>
      <c r="F290" s="115"/>
      <c r="G290" s="115"/>
      <c r="H290" s="115"/>
      <c r="I290" s="115"/>
      <c r="J290" s="115"/>
      <c r="K290" s="218"/>
      <c r="L290" s="218"/>
      <c r="M290" s="218"/>
      <c r="N290" s="218"/>
      <c r="O290" s="218"/>
      <c r="P290" s="115"/>
    </row>
    <row r="291" spans="1:16" ht="18" x14ac:dyDescent="0.25">
      <c r="A291" s="115"/>
      <c r="B291" s="115"/>
      <c r="C291" s="236" t="s">
        <v>305</v>
      </c>
      <c r="D291" s="115"/>
      <c r="E291" s="115"/>
      <c r="F291" s="115"/>
      <c r="G291" s="115"/>
      <c r="H291" s="115"/>
      <c r="I291" s="115"/>
      <c r="J291" s="115"/>
      <c r="K291" s="218"/>
      <c r="L291" s="218"/>
      <c r="M291" s="218"/>
      <c r="N291" s="218"/>
      <c r="O291" s="218"/>
      <c r="P291" s="219"/>
    </row>
    <row r="292" spans="1:16" ht="18" x14ac:dyDescent="0.25">
      <c r="A292" s="115"/>
      <c r="B292" s="115"/>
      <c r="C292" s="237" t="s">
        <v>306</v>
      </c>
      <c r="D292" s="115"/>
      <c r="E292" s="115"/>
      <c r="F292" s="115"/>
      <c r="G292" s="115"/>
      <c r="H292" s="115"/>
      <c r="I292" s="115"/>
      <c r="J292" s="115"/>
      <c r="K292" s="218"/>
      <c r="L292" s="218"/>
      <c r="M292" s="218"/>
      <c r="N292" s="218"/>
      <c r="O292" s="218"/>
      <c r="P292" s="218"/>
    </row>
    <row r="293" spans="1:16" ht="18" x14ac:dyDescent="0.25">
      <c r="A293" s="115"/>
      <c r="B293" s="115"/>
      <c r="C293" s="115"/>
      <c r="D293" s="115"/>
      <c r="E293" s="115"/>
      <c r="F293" s="115"/>
      <c r="G293" s="115"/>
      <c r="H293" s="115"/>
      <c r="I293" s="115"/>
      <c r="J293" s="115"/>
      <c r="K293" s="218"/>
      <c r="L293" s="218"/>
      <c r="M293" s="218"/>
      <c r="N293" s="218"/>
      <c r="O293" s="218"/>
      <c r="P293" s="218"/>
    </row>
    <row r="294" spans="1:16" ht="18" x14ac:dyDescent="0.25">
      <c r="A294" s="115"/>
      <c r="B294" s="115"/>
      <c r="C294" s="115"/>
      <c r="D294" s="115"/>
      <c r="E294" s="115"/>
      <c r="F294" s="115"/>
      <c r="G294" s="115"/>
      <c r="H294" s="115"/>
      <c r="I294" s="115"/>
      <c r="J294" s="115"/>
      <c r="K294" s="218"/>
      <c r="L294" s="218"/>
      <c r="M294" s="218"/>
      <c r="N294" s="218"/>
      <c r="O294" s="218"/>
      <c r="P294" s="218"/>
    </row>
  </sheetData>
  <mergeCells count="1529">
    <mergeCell ref="D166:D167"/>
    <mergeCell ref="E166:E167"/>
    <mergeCell ref="F166:F167"/>
    <mergeCell ref="G166:G167"/>
    <mergeCell ref="I166:I167"/>
    <mergeCell ref="J166:J167"/>
    <mergeCell ref="K164:K165"/>
    <mergeCell ref="L164:L165"/>
    <mergeCell ref="A164:A165"/>
    <mergeCell ref="B164:B165"/>
    <mergeCell ref="C164:C165"/>
    <mergeCell ref="D164:D165"/>
    <mergeCell ref="E164:E165"/>
    <mergeCell ref="F164:F165"/>
    <mergeCell ref="G164:G165"/>
    <mergeCell ref="I164:I165"/>
    <mergeCell ref="J164:J165"/>
    <mergeCell ref="A202:A203"/>
    <mergeCell ref="B202:B203"/>
    <mergeCell ref="C202:C203"/>
    <mergeCell ref="D202:D203"/>
    <mergeCell ref="E202:E203"/>
    <mergeCell ref="F202:F203"/>
    <mergeCell ref="G202:G203"/>
    <mergeCell ref="I202:I203"/>
    <mergeCell ref="J202:J203"/>
    <mergeCell ref="K202:K203"/>
    <mergeCell ref="L202:L203"/>
    <mergeCell ref="A280:A281"/>
    <mergeCell ref="B280:B281"/>
    <mergeCell ref="C280:C281"/>
    <mergeCell ref="D280:D281"/>
    <mergeCell ref="E280:E281"/>
    <mergeCell ref="F280:F281"/>
    <mergeCell ref="G280:G281"/>
    <mergeCell ref="I280:I281"/>
    <mergeCell ref="J280:J281"/>
    <mergeCell ref="K280:K281"/>
    <mergeCell ref="L280:L281"/>
    <mergeCell ref="L278:L279"/>
    <mergeCell ref="A220:A221"/>
    <mergeCell ref="B220:B221"/>
    <mergeCell ref="C220:C221"/>
    <mergeCell ref="D220:D221"/>
    <mergeCell ref="E220:E221"/>
    <mergeCell ref="F220:F221"/>
    <mergeCell ref="G220:G221"/>
    <mergeCell ref="I220:I221"/>
    <mergeCell ref="J220:J221"/>
    <mergeCell ref="A282:A283"/>
    <mergeCell ref="B282:B283"/>
    <mergeCell ref="C282:C283"/>
    <mergeCell ref="D282:D283"/>
    <mergeCell ref="E282:E283"/>
    <mergeCell ref="F282:F283"/>
    <mergeCell ref="G282:G283"/>
    <mergeCell ref="I282:I283"/>
    <mergeCell ref="J282:J283"/>
    <mergeCell ref="K282:K283"/>
    <mergeCell ref="L282:L283"/>
    <mergeCell ref="A224:A225"/>
    <mergeCell ref="B224:B225"/>
    <mergeCell ref="C224:C225"/>
    <mergeCell ref="D224:D225"/>
    <mergeCell ref="E224:E225"/>
    <mergeCell ref="F224:F225"/>
    <mergeCell ref="G224:G225"/>
    <mergeCell ref="I224:I225"/>
    <mergeCell ref="J224:J225"/>
    <mergeCell ref="K224:K225"/>
    <mergeCell ref="L224:L225"/>
    <mergeCell ref="A278:A279"/>
    <mergeCell ref="B278:B279"/>
    <mergeCell ref="C278:C279"/>
    <mergeCell ref="D278:D279"/>
    <mergeCell ref="E278:E279"/>
    <mergeCell ref="F278:F279"/>
    <mergeCell ref="G278:G279"/>
    <mergeCell ref="I278:I279"/>
    <mergeCell ref="J278:J279"/>
    <mergeCell ref="K278:K279"/>
    <mergeCell ref="K220:K221"/>
    <mergeCell ref="L220:L221"/>
    <mergeCell ref="A222:A223"/>
    <mergeCell ref="B222:B223"/>
    <mergeCell ref="C222:C223"/>
    <mergeCell ref="D222:D223"/>
    <mergeCell ref="E222:E223"/>
    <mergeCell ref="F222:F223"/>
    <mergeCell ref="G222:G223"/>
    <mergeCell ref="I222:I223"/>
    <mergeCell ref="J222:J223"/>
    <mergeCell ref="K222:K223"/>
    <mergeCell ref="L222:L223"/>
    <mergeCell ref="A274:A275"/>
    <mergeCell ref="B274:B275"/>
    <mergeCell ref="C274:C275"/>
    <mergeCell ref="D274:D275"/>
    <mergeCell ref="E274:E275"/>
    <mergeCell ref="F274:F275"/>
    <mergeCell ref="G274:G275"/>
    <mergeCell ref="I274:I275"/>
    <mergeCell ref="J274:J275"/>
    <mergeCell ref="K274:K275"/>
    <mergeCell ref="L274:L275"/>
    <mergeCell ref="L272:L273"/>
    <mergeCell ref="A230:A231"/>
    <mergeCell ref="B230:B231"/>
    <mergeCell ref="C230:C231"/>
    <mergeCell ref="D230:D231"/>
    <mergeCell ref="E230:E231"/>
    <mergeCell ref="F230:F231"/>
    <mergeCell ref="G230:G231"/>
    <mergeCell ref="A276:A277"/>
    <mergeCell ref="B276:B277"/>
    <mergeCell ref="C276:C277"/>
    <mergeCell ref="D276:D277"/>
    <mergeCell ref="E276:E277"/>
    <mergeCell ref="F276:F277"/>
    <mergeCell ref="G276:G277"/>
    <mergeCell ref="I276:I277"/>
    <mergeCell ref="J276:J277"/>
    <mergeCell ref="K276:K277"/>
    <mergeCell ref="L276:L277"/>
    <mergeCell ref="A234:A235"/>
    <mergeCell ref="B234:B235"/>
    <mergeCell ref="C234:C235"/>
    <mergeCell ref="D234:D235"/>
    <mergeCell ref="E234:E235"/>
    <mergeCell ref="F234:F235"/>
    <mergeCell ref="G234:G235"/>
    <mergeCell ref="I234:I235"/>
    <mergeCell ref="J234:J235"/>
    <mergeCell ref="K234:K235"/>
    <mergeCell ref="L234:L235"/>
    <mergeCell ref="A272:A273"/>
    <mergeCell ref="B272:B273"/>
    <mergeCell ref="C272:C273"/>
    <mergeCell ref="D272:D273"/>
    <mergeCell ref="E272:E273"/>
    <mergeCell ref="F272:F273"/>
    <mergeCell ref="G272:G273"/>
    <mergeCell ref="I272:I273"/>
    <mergeCell ref="J272:J273"/>
    <mergeCell ref="K272:K273"/>
    <mergeCell ref="I230:I231"/>
    <mergeCell ref="J230:J231"/>
    <mergeCell ref="K230:K231"/>
    <mergeCell ref="L230:L231"/>
    <mergeCell ref="A232:A233"/>
    <mergeCell ref="B232:B233"/>
    <mergeCell ref="C232:C233"/>
    <mergeCell ref="D232:D233"/>
    <mergeCell ref="E232:E233"/>
    <mergeCell ref="F232:F233"/>
    <mergeCell ref="G232:G233"/>
    <mergeCell ref="I232:I233"/>
    <mergeCell ref="J232:J233"/>
    <mergeCell ref="K232:K233"/>
    <mergeCell ref="L232:L233"/>
    <mergeCell ref="A226:A227"/>
    <mergeCell ref="B226:B227"/>
    <mergeCell ref="C226:C227"/>
    <mergeCell ref="D226:D227"/>
    <mergeCell ref="E226:E227"/>
    <mergeCell ref="F226:F227"/>
    <mergeCell ref="G226:G227"/>
    <mergeCell ref="I226:I227"/>
    <mergeCell ref="J226:J227"/>
    <mergeCell ref="K226:K227"/>
    <mergeCell ref="L226:L227"/>
    <mergeCell ref="A228:A229"/>
    <mergeCell ref="B228:B229"/>
    <mergeCell ref="C228:C229"/>
    <mergeCell ref="D228:D229"/>
    <mergeCell ref="E228:E229"/>
    <mergeCell ref="F228:F229"/>
    <mergeCell ref="G228:G229"/>
    <mergeCell ref="I228:I229"/>
    <mergeCell ref="J228:J229"/>
    <mergeCell ref="K228:K229"/>
    <mergeCell ref="L228:L229"/>
    <mergeCell ref="K198:K199"/>
    <mergeCell ref="L198:L199"/>
    <mergeCell ref="A200:A201"/>
    <mergeCell ref="B200:B201"/>
    <mergeCell ref="C200:C201"/>
    <mergeCell ref="D200:D201"/>
    <mergeCell ref="E200:E201"/>
    <mergeCell ref="F200:F201"/>
    <mergeCell ref="G200:G201"/>
    <mergeCell ref="I200:I201"/>
    <mergeCell ref="J200:J201"/>
    <mergeCell ref="K200:K201"/>
    <mergeCell ref="L200:L201"/>
    <mergeCell ref="A198:A199"/>
    <mergeCell ref="B198:B199"/>
    <mergeCell ref="C198:C199"/>
    <mergeCell ref="D198:D199"/>
    <mergeCell ref="E198:E199"/>
    <mergeCell ref="F198:F199"/>
    <mergeCell ref="G198:G199"/>
    <mergeCell ref="I198:I199"/>
    <mergeCell ref="J198:J199"/>
    <mergeCell ref="A204:A205"/>
    <mergeCell ref="B204:B205"/>
    <mergeCell ref="C204:C205"/>
    <mergeCell ref="D204:D205"/>
    <mergeCell ref="E204:E205"/>
    <mergeCell ref="K194:K195"/>
    <mergeCell ref="L194:L195"/>
    <mergeCell ref="A196:A197"/>
    <mergeCell ref="B196:B197"/>
    <mergeCell ref="C196:C197"/>
    <mergeCell ref="D196:D197"/>
    <mergeCell ref="E196:E197"/>
    <mergeCell ref="F196:F197"/>
    <mergeCell ref="G196:G197"/>
    <mergeCell ref="I196:I197"/>
    <mergeCell ref="J196:J197"/>
    <mergeCell ref="K196:K197"/>
    <mergeCell ref="L196:L197"/>
    <mergeCell ref="A194:A195"/>
    <mergeCell ref="B194:B195"/>
    <mergeCell ref="C194:C195"/>
    <mergeCell ref="D194:D195"/>
    <mergeCell ref="E194:E195"/>
    <mergeCell ref="F194:F195"/>
    <mergeCell ref="G194:G195"/>
    <mergeCell ref="I194:I195"/>
    <mergeCell ref="J194:J195"/>
    <mergeCell ref="K190:K191"/>
    <mergeCell ref="L190:L191"/>
    <mergeCell ref="A192:A193"/>
    <mergeCell ref="B192:B193"/>
    <mergeCell ref="C192:C193"/>
    <mergeCell ref="D192:D193"/>
    <mergeCell ref="E192:E193"/>
    <mergeCell ref="F192:F193"/>
    <mergeCell ref="G192:G193"/>
    <mergeCell ref="I192:I193"/>
    <mergeCell ref="J192:J193"/>
    <mergeCell ref="K192:K193"/>
    <mergeCell ref="L192:L193"/>
    <mergeCell ref="A190:A191"/>
    <mergeCell ref="B190:B191"/>
    <mergeCell ref="C190:C191"/>
    <mergeCell ref="D190:D191"/>
    <mergeCell ref="E190:E191"/>
    <mergeCell ref="F190:F191"/>
    <mergeCell ref="G190:G191"/>
    <mergeCell ref="I190:I191"/>
    <mergeCell ref="J190:J191"/>
    <mergeCell ref="K186:K187"/>
    <mergeCell ref="L186:L187"/>
    <mergeCell ref="A188:A189"/>
    <mergeCell ref="B188:B189"/>
    <mergeCell ref="C188:C189"/>
    <mergeCell ref="D188:D189"/>
    <mergeCell ref="E188:E189"/>
    <mergeCell ref="F188:F189"/>
    <mergeCell ref="G188:G189"/>
    <mergeCell ref="I188:I189"/>
    <mergeCell ref="J188:J189"/>
    <mergeCell ref="K188:K189"/>
    <mergeCell ref="L188:L189"/>
    <mergeCell ref="A186:A187"/>
    <mergeCell ref="B186:B187"/>
    <mergeCell ref="C186:C187"/>
    <mergeCell ref="D186:D187"/>
    <mergeCell ref="E186:E187"/>
    <mergeCell ref="F186:F187"/>
    <mergeCell ref="G186:G187"/>
    <mergeCell ref="I186:I187"/>
    <mergeCell ref="J186:J187"/>
    <mergeCell ref="K182:K183"/>
    <mergeCell ref="L182:L183"/>
    <mergeCell ref="A184:A185"/>
    <mergeCell ref="B184:B185"/>
    <mergeCell ref="C184:C185"/>
    <mergeCell ref="D184:D185"/>
    <mergeCell ref="E184:E185"/>
    <mergeCell ref="F184:F185"/>
    <mergeCell ref="G184:G185"/>
    <mergeCell ref="I184:I185"/>
    <mergeCell ref="J184:J185"/>
    <mergeCell ref="K184:K185"/>
    <mergeCell ref="L184:L185"/>
    <mergeCell ref="A182:A183"/>
    <mergeCell ref="B182:B183"/>
    <mergeCell ref="C182:C183"/>
    <mergeCell ref="D182:D183"/>
    <mergeCell ref="E182:E183"/>
    <mergeCell ref="F182:F183"/>
    <mergeCell ref="G182:G183"/>
    <mergeCell ref="I182:I183"/>
    <mergeCell ref="J182:J183"/>
    <mergeCell ref="B180:B181"/>
    <mergeCell ref="C180:C181"/>
    <mergeCell ref="D180:D181"/>
    <mergeCell ref="E180:E181"/>
    <mergeCell ref="F180:F181"/>
    <mergeCell ref="G180:G181"/>
    <mergeCell ref="I180:I181"/>
    <mergeCell ref="J180:J181"/>
    <mergeCell ref="K180:K181"/>
    <mergeCell ref="L180:L181"/>
    <mergeCell ref="A178:A179"/>
    <mergeCell ref="B178:B179"/>
    <mergeCell ref="C178:C179"/>
    <mergeCell ref="D178:D179"/>
    <mergeCell ref="E178:E179"/>
    <mergeCell ref="F178:F179"/>
    <mergeCell ref="G178:G179"/>
    <mergeCell ref="I178:I179"/>
    <mergeCell ref="J178:J179"/>
    <mergeCell ref="K178:K179"/>
    <mergeCell ref="L178:L179"/>
    <mergeCell ref="A180:A181"/>
    <mergeCell ref="K156:K157"/>
    <mergeCell ref="L156:L157"/>
    <mergeCell ref="A158:A159"/>
    <mergeCell ref="B158:B159"/>
    <mergeCell ref="C158:C159"/>
    <mergeCell ref="D158:D159"/>
    <mergeCell ref="E158:E159"/>
    <mergeCell ref="F158:F159"/>
    <mergeCell ref="G158:G159"/>
    <mergeCell ref="I158:I159"/>
    <mergeCell ref="J158:J159"/>
    <mergeCell ref="K158:K159"/>
    <mergeCell ref="L158:L159"/>
    <mergeCell ref="A156:A157"/>
    <mergeCell ref="B156:B157"/>
    <mergeCell ref="C156:C157"/>
    <mergeCell ref="D156:D157"/>
    <mergeCell ref="E156:E157"/>
    <mergeCell ref="F156:F157"/>
    <mergeCell ref="G156:G157"/>
    <mergeCell ref="I156:I157"/>
    <mergeCell ref="J156:J157"/>
    <mergeCell ref="A128:A129"/>
    <mergeCell ref="B128:B129"/>
    <mergeCell ref="A114:A115"/>
    <mergeCell ref="B114:B115"/>
    <mergeCell ref="C114:C115"/>
    <mergeCell ref="K152:K153"/>
    <mergeCell ref="L152:L153"/>
    <mergeCell ref="A154:A155"/>
    <mergeCell ref="B154:B155"/>
    <mergeCell ref="C154:C155"/>
    <mergeCell ref="D154:D155"/>
    <mergeCell ref="E154:E155"/>
    <mergeCell ref="F154:F155"/>
    <mergeCell ref="G154:G155"/>
    <mergeCell ref="I154:I155"/>
    <mergeCell ref="J154:J155"/>
    <mergeCell ref="K154:K155"/>
    <mergeCell ref="L154:L155"/>
    <mergeCell ref="A152:A153"/>
    <mergeCell ref="B152:B153"/>
    <mergeCell ref="C152:C153"/>
    <mergeCell ref="D152:D153"/>
    <mergeCell ref="E152:E153"/>
    <mergeCell ref="F152:F153"/>
    <mergeCell ref="G152:G153"/>
    <mergeCell ref="I152:I153"/>
    <mergeCell ref="J152:J153"/>
    <mergeCell ref="K148:K149"/>
    <mergeCell ref="L148:L149"/>
    <mergeCell ref="A150:A151"/>
    <mergeCell ref="B150:B151"/>
    <mergeCell ref="C150:C151"/>
    <mergeCell ref="D150:D151"/>
    <mergeCell ref="E150:E151"/>
    <mergeCell ref="F150:F151"/>
    <mergeCell ref="G150:G151"/>
    <mergeCell ref="I150:I151"/>
    <mergeCell ref="J150:J151"/>
    <mergeCell ref="K150:K151"/>
    <mergeCell ref="L150:L151"/>
    <mergeCell ref="A148:A149"/>
    <mergeCell ref="B148:B149"/>
    <mergeCell ref="C148:C149"/>
    <mergeCell ref="D148:D149"/>
    <mergeCell ref="E148:E149"/>
    <mergeCell ref="F148:F149"/>
    <mergeCell ref="G148:G149"/>
    <mergeCell ref="I148:I149"/>
    <mergeCell ref="J148:J149"/>
    <mergeCell ref="D114:D115"/>
    <mergeCell ref="E114:E115"/>
    <mergeCell ref="A120:A121"/>
    <mergeCell ref="B120:B121"/>
    <mergeCell ref="C120:C121"/>
    <mergeCell ref="D120:D121"/>
    <mergeCell ref="A126:A127"/>
    <mergeCell ref="F114:F115"/>
    <mergeCell ref="G112:G113"/>
    <mergeCell ref="I112:I113"/>
    <mergeCell ref="J112:J113"/>
    <mergeCell ref="K112:K113"/>
    <mergeCell ref="B126:B127"/>
    <mergeCell ref="C126:C127"/>
    <mergeCell ref="D126:D127"/>
    <mergeCell ref="E126:E127"/>
    <mergeCell ref="G124:G125"/>
    <mergeCell ref="I124:I125"/>
    <mergeCell ref="J124:J125"/>
    <mergeCell ref="K124:K125"/>
    <mergeCell ref="F120:F121"/>
    <mergeCell ref="G120:G121"/>
    <mergeCell ref="I120:I121"/>
    <mergeCell ref="J120:J121"/>
    <mergeCell ref="K120:K121"/>
    <mergeCell ref="G118:G119"/>
    <mergeCell ref="I118:I119"/>
    <mergeCell ref="J118:J119"/>
    <mergeCell ref="K118:K119"/>
    <mergeCell ref="F118:F119"/>
    <mergeCell ref="A132:A133"/>
    <mergeCell ref="B132:B133"/>
    <mergeCell ref="C132:C133"/>
    <mergeCell ref="D132:D133"/>
    <mergeCell ref="E132:E133"/>
    <mergeCell ref="A130:A131"/>
    <mergeCell ref="B130:B131"/>
    <mergeCell ref="C130:C131"/>
    <mergeCell ref="D130:D131"/>
    <mergeCell ref="E130:E131"/>
    <mergeCell ref="L124:L125"/>
    <mergeCell ref="A116:A117"/>
    <mergeCell ref="B116:B117"/>
    <mergeCell ref="C116:C117"/>
    <mergeCell ref="D116:D117"/>
    <mergeCell ref="E116:E117"/>
    <mergeCell ref="E120:E121"/>
    <mergeCell ref="A118:A119"/>
    <mergeCell ref="B118:B119"/>
    <mergeCell ref="C118:C119"/>
    <mergeCell ref="D118:D119"/>
    <mergeCell ref="E118:E119"/>
    <mergeCell ref="F128:F129"/>
    <mergeCell ref="G128:G129"/>
    <mergeCell ref="I128:I129"/>
    <mergeCell ref="J128:J129"/>
    <mergeCell ref="K128:K129"/>
    <mergeCell ref="L128:L129"/>
    <mergeCell ref="G126:G127"/>
    <mergeCell ref="I126:I127"/>
    <mergeCell ref="J126:J127"/>
    <mergeCell ref="G116:G117"/>
    <mergeCell ref="B110:B111"/>
    <mergeCell ref="C110:C111"/>
    <mergeCell ref="D110:D111"/>
    <mergeCell ref="E110:E111"/>
    <mergeCell ref="F112:F113"/>
    <mergeCell ref="G114:G115"/>
    <mergeCell ref="F132:F133"/>
    <mergeCell ref="G132:G133"/>
    <mergeCell ref="I132:I133"/>
    <mergeCell ref="J132:J133"/>
    <mergeCell ref="K132:K133"/>
    <mergeCell ref="L132:L133"/>
    <mergeCell ref="G130:G131"/>
    <mergeCell ref="I130:I131"/>
    <mergeCell ref="J130:J131"/>
    <mergeCell ref="K130:K131"/>
    <mergeCell ref="L130:L131"/>
    <mergeCell ref="F130:F131"/>
    <mergeCell ref="I116:I117"/>
    <mergeCell ref="J116:J117"/>
    <mergeCell ref="K116:K117"/>
    <mergeCell ref="L116:L117"/>
    <mergeCell ref="F116:F117"/>
    <mergeCell ref="C128:C129"/>
    <mergeCell ref="D128:D129"/>
    <mergeCell ref="E128:E129"/>
    <mergeCell ref="L112:L113"/>
    <mergeCell ref="G110:G111"/>
    <mergeCell ref="I110:I111"/>
    <mergeCell ref="J110:J111"/>
    <mergeCell ref="K110:K111"/>
    <mergeCell ref="L120:L121"/>
    <mergeCell ref="A104:A105"/>
    <mergeCell ref="B104:B105"/>
    <mergeCell ref="C104:C105"/>
    <mergeCell ref="D104:D105"/>
    <mergeCell ref="E104:E105"/>
    <mergeCell ref="A102:A103"/>
    <mergeCell ref="B102:B103"/>
    <mergeCell ref="C102:C103"/>
    <mergeCell ref="G122:G123"/>
    <mergeCell ref="I122:I123"/>
    <mergeCell ref="J122:J123"/>
    <mergeCell ref="K122:K123"/>
    <mergeCell ref="L122:L123"/>
    <mergeCell ref="F106:F107"/>
    <mergeCell ref="A124:A125"/>
    <mergeCell ref="B124:B125"/>
    <mergeCell ref="C124:C125"/>
    <mergeCell ref="D124:D125"/>
    <mergeCell ref="E124:E125"/>
    <mergeCell ref="A122:A123"/>
    <mergeCell ref="B122:B123"/>
    <mergeCell ref="C122:C123"/>
    <mergeCell ref="D122:D123"/>
    <mergeCell ref="E122:E123"/>
    <mergeCell ref="F124:F125"/>
    <mergeCell ref="F122:F123"/>
    <mergeCell ref="A112:A113"/>
    <mergeCell ref="B112:B113"/>
    <mergeCell ref="C112:C113"/>
    <mergeCell ref="D112:D113"/>
    <mergeCell ref="E112:E113"/>
    <mergeCell ref="A110:A111"/>
    <mergeCell ref="A108:A109"/>
    <mergeCell ref="B108:B109"/>
    <mergeCell ref="C108:C109"/>
    <mergeCell ref="D108:D109"/>
    <mergeCell ref="E108:E109"/>
    <mergeCell ref="A106:A107"/>
    <mergeCell ref="B106:B107"/>
    <mergeCell ref="C106:C107"/>
    <mergeCell ref="D106:D107"/>
    <mergeCell ref="E106:E107"/>
    <mergeCell ref="F108:F109"/>
    <mergeCell ref="G108:G109"/>
    <mergeCell ref="I108:I109"/>
    <mergeCell ref="J108:J109"/>
    <mergeCell ref="K108:K109"/>
    <mergeCell ref="L108:L109"/>
    <mergeCell ref="G106:G107"/>
    <mergeCell ref="I106:I107"/>
    <mergeCell ref="J106:J107"/>
    <mergeCell ref="K106:K107"/>
    <mergeCell ref="L106:L107"/>
    <mergeCell ref="L94:L95"/>
    <mergeCell ref="D102:D103"/>
    <mergeCell ref="E102:E103"/>
    <mergeCell ref="E98:E99"/>
    <mergeCell ref="F100:F101"/>
    <mergeCell ref="G100:G101"/>
    <mergeCell ref="I100:I101"/>
    <mergeCell ref="J100:J101"/>
    <mergeCell ref="K100:K101"/>
    <mergeCell ref="L100:L101"/>
    <mergeCell ref="G98:G99"/>
    <mergeCell ref="I98:I99"/>
    <mergeCell ref="J98:J99"/>
    <mergeCell ref="K98:K99"/>
    <mergeCell ref="L98:L99"/>
    <mergeCell ref="F98:F99"/>
    <mergeCell ref="L88:L89"/>
    <mergeCell ref="F88:F89"/>
    <mergeCell ref="K102:K103"/>
    <mergeCell ref="L102:L103"/>
    <mergeCell ref="F102:F103"/>
    <mergeCell ref="L90:L91"/>
    <mergeCell ref="F90:F91"/>
    <mergeCell ref="K92:K93"/>
    <mergeCell ref="L92:L93"/>
    <mergeCell ref="F94:F95"/>
    <mergeCell ref="F96:F97"/>
    <mergeCell ref="G96:G97"/>
    <mergeCell ref="I96:I97"/>
    <mergeCell ref="J96:J97"/>
    <mergeCell ref="K96:K97"/>
    <mergeCell ref="L96:L97"/>
    <mergeCell ref="A88:A89"/>
    <mergeCell ref="B88:B89"/>
    <mergeCell ref="C88:C89"/>
    <mergeCell ref="D88:D89"/>
    <mergeCell ref="E88:E89"/>
    <mergeCell ref="F92:F93"/>
    <mergeCell ref="G92:G93"/>
    <mergeCell ref="I92:I93"/>
    <mergeCell ref="J92:J93"/>
    <mergeCell ref="G88:G89"/>
    <mergeCell ref="I88:I89"/>
    <mergeCell ref="J88:J89"/>
    <mergeCell ref="F86:F87"/>
    <mergeCell ref="G86:G87"/>
    <mergeCell ref="I86:I87"/>
    <mergeCell ref="J86:J87"/>
    <mergeCell ref="K86:K87"/>
    <mergeCell ref="K88:K89"/>
    <mergeCell ref="G90:G91"/>
    <mergeCell ref="I90:I91"/>
    <mergeCell ref="J90:J91"/>
    <mergeCell ref="K90:K91"/>
    <mergeCell ref="A90:A91"/>
    <mergeCell ref="B90:B91"/>
    <mergeCell ref="C90:C91"/>
    <mergeCell ref="D90:D91"/>
    <mergeCell ref="E90:E91"/>
    <mergeCell ref="A92:A93"/>
    <mergeCell ref="B92:B93"/>
    <mergeCell ref="C92:C93"/>
    <mergeCell ref="D92:D93"/>
    <mergeCell ref="E92:E93"/>
    <mergeCell ref="L86:L87"/>
    <mergeCell ref="G84:G85"/>
    <mergeCell ref="I84:I85"/>
    <mergeCell ref="J84:J85"/>
    <mergeCell ref="K84:K85"/>
    <mergeCell ref="L84:L85"/>
    <mergeCell ref="F84:F85"/>
    <mergeCell ref="A86:A87"/>
    <mergeCell ref="B86:B87"/>
    <mergeCell ref="C86:C87"/>
    <mergeCell ref="D86:D87"/>
    <mergeCell ref="E86:E87"/>
    <mergeCell ref="A84:A85"/>
    <mergeCell ref="B84:B85"/>
    <mergeCell ref="C84:C85"/>
    <mergeCell ref="D84:D85"/>
    <mergeCell ref="E84:E85"/>
    <mergeCell ref="F78:F79"/>
    <mergeCell ref="G78:G79"/>
    <mergeCell ref="I78:I79"/>
    <mergeCell ref="J78:J79"/>
    <mergeCell ref="K78:K79"/>
    <mergeCell ref="L78:L79"/>
    <mergeCell ref="G76:G77"/>
    <mergeCell ref="I76:I77"/>
    <mergeCell ref="J76:J77"/>
    <mergeCell ref="K76:K77"/>
    <mergeCell ref="L76:L77"/>
    <mergeCell ref="F76:F77"/>
    <mergeCell ref="A78:A79"/>
    <mergeCell ref="B78:B79"/>
    <mergeCell ref="C78:C79"/>
    <mergeCell ref="D78:D79"/>
    <mergeCell ref="E78:E79"/>
    <mergeCell ref="A76:A77"/>
    <mergeCell ref="B76:B77"/>
    <mergeCell ref="C76:C77"/>
    <mergeCell ref="D76:D77"/>
    <mergeCell ref="E76:E77"/>
    <mergeCell ref="J74:J75"/>
    <mergeCell ref="K74:K75"/>
    <mergeCell ref="L74:L75"/>
    <mergeCell ref="G68:G69"/>
    <mergeCell ref="I68:I69"/>
    <mergeCell ref="J68:J69"/>
    <mergeCell ref="K68:K69"/>
    <mergeCell ref="L68:L69"/>
    <mergeCell ref="F68:F69"/>
    <mergeCell ref="F70:F71"/>
    <mergeCell ref="G70:G71"/>
    <mergeCell ref="I70:I71"/>
    <mergeCell ref="J70:J71"/>
    <mergeCell ref="K70:K71"/>
    <mergeCell ref="L70:L71"/>
    <mergeCell ref="F72:F73"/>
    <mergeCell ref="G72:G73"/>
    <mergeCell ref="I72:I73"/>
    <mergeCell ref="J72:J73"/>
    <mergeCell ref="K72:K73"/>
    <mergeCell ref="L72:L73"/>
    <mergeCell ref="A74:A75"/>
    <mergeCell ref="B74:B75"/>
    <mergeCell ref="C74:C75"/>
    <mergeCell ref="D74:D75"/>
    <mergeCell ref="E74:E75"/>
    <mergeCell ref="A68:A69"/>
    <mergeCell ref="B68:B69"/>
    <mergeCell ref="C68:C69"/>
    <mergeCell ref="D68:D69"/>
    <mergeCell ref="E68:E69"/>
    <mergeCell ref="A72:A73"/>
    <mergeCell ref="B72:B73"/>
    <mergeCell ref="C72:C73"/>
    <mergeCell ref="D72:D73"/>
    <mergeCell ref="E72:E73"/>
    <mergeCell ref="G66:G67"/>
    <mergeCell ref="I66:I67"/>
    <mergeCell ref="F74:F75"/>
    <mergeCell ref="G74:G75"/>
    <mergeCell ref="I74:I75"/>
    <mergeCell ref="J66:J67"/>
    <mergeCell ref="K66:K67"/>
    <mergeCell ref="L66:L67"/>
    <mergeCell ref="A70:A71"/>
    <mergeCell ref="B70:B71"/>
    <mergeCell ref="C70:C71"/>
    <mergeCell ref="D70:D71"/>
    <mergeCell ref="E70:E71"/>
    <mergeCell ref="A66:A67"/>
    <mergeCell ref="B66:B67"/>
    <mergeCell ref="C66:C67"/>
    <mergeCell ref="D66:D67"/>
    <mergeCell ref="E66:E67"/>
    <mergeCell ref="F66:F67"/>
    <mergeCell ref="F64:F65"/>
    <mergeCell ref="G64:G65"/>
    <mergeCell ref="I64:I65"/>
    <mergeCell ref="J64:J65"/>
    <mergeCell ref="K64:K65"/>
    <mergeCell ref="L64:L65"/>
    <mergeCell ref="G60:G61"/>
    <mergeCell ref="I60:I61"/>
    <mergeCell ref="J60:J61"/>
    <mergeCell ref="K60:K61"/>
    <mergeCell ref="L60:L61"/>
    <mergeCell ref="F60:F61"/>
    <mergeCell ref="G62:G63"/>
    <mergeCell ref="I62:I63"/>
    <mergeCell ref="J62:J63"/>
    <mergeCell ref="K62:K63"/>
    <mergeCell ref="L62:L63"/>
    <mergeCell ref="F62:F63"/>
    <mergeCell ref="A64:A65"/>
    <mergeCell ref="B64:B65"/>
    <mergeCell ref="C64:C65"/>
    <mergeCell ref="D64:D65"/>
    <mergeCell ref="E64:E65"/>
    <mergeCell ref="A60:A61"/>
    <mergeCell ref="B60:B61"/>
    <mergeCell ref="C60:C61"/>
    <mergeCell ref="D60:D61"/>
    <mergeCell ref="E60:E61"/>
    <mergeCell ref="A62:A63"/>
    <mergeCell ref="B62:B63"/>
    <mergeCell ref="C62:C63"/>
    <mergeCell ref="D62:D63"/>
    <mergeCell ref="E62:E63"/>
    <mergeCell ref="F50:F51"/>
    <mergeCell ref="E52:E53"/>
    <mergeCell ref="A50:A51"/>
    <mergeCell ref="B50:B51"/>
    <mergeCell ref="C50:C51"/>
    <mergeCell ref="D50:D51"/>
    <mergeCell ref="E50:E51"/>
    <mergeCell ref="F52:F53"/>
    <mergeCell ref="G52:G53"/>
    <mergeCell ref="I52:I53"/>
    <mergeCell ref="F56:F57"/>
    <mergeCell ref="G56:G57"/>
    <mergeCell ref="I56:I57"/>
    <mergeCell ref="J56:J57"/>
    <mergeCell ref="K56:K57"/>
    <mergeCell ref="L56:L57"/>
    <mergeCell ref="G54:G55"/>
    <mergeCell ref="I54:I55"/>
    <mergeCell ref="J54:J55"/>
    <mergeCell ref="K54:K55"/>
    <mergeCell ref="L54:L55"/>
    <mergeCell ref="F54:F55"/>
    <mergeCell ref="A56:A57"/>
    <mergeCell ref="B56:B57"/>
    <mergeCell ref="C56:C57"/>
    <mergeCell ref="D56:D57"/>
    <mergeCell ref="E56:E57"/>
    <mergeCell ref="A54:A55"/>
    <mergeCell ref="B54:B55"/>
    <mergeCell ref="C54:C55"/>
    <mergeCell ref="D54:D55"/>
    <mergeCell ref="E54:E55"/>
    <mergeCell ref="F36:F37"/>
    <mergeCell ref="G36:G37"/>
    <mergeCell ref="I36:I37"/>
    <mergeCell ref="J36:J37"/>
    <mergeCell ref="K36:K37"/>
    <mergeCell ref="L36:L37"/>
    <mergeCell ref="G42:G43"/>
    <mergeCell ref="I42:I43"/>
    <mergeCell ref="J42:J43"/>
    <mergeCell ref="K42:K43"/>
    <mergeCell ref="L42:L43"/>
    <mergeCell ref="F42:F43"/>
    <mergeCell ref="F40:F41"/>
    <mergeCell ref="G40:G41"/>
    <mergeCell ref="I40:I41"/>
    <mergeCell ref="J40:J41"/>
    <mergeCell ref="K40:K41"/>
    <mergeCell ref="L40:L41"/>
    <mergeCell ref="G38:G39"/>
    <mergeCell ref="I38:I39"/>
    <mergeCell ref="J38:J39"/>
    <mergeCell ref="K38:K39"/>
    <mergeCell ref="L38:L39"/>
    <mergeCell ref="F38:F39"/>
    <mergeCell ref="A36:A37"/>
    <mergeCell ref="B36:B37"/>
    <mergeCell ref="C36:C37"/>
    <mergeCell ref="D36:D37"/>
    <mergeCell ref="E36:E37"/>
    <mergeCell ref="A42:A43"/>
    <mergeCell ref="B42:B43"/>
    <mergeCell ref="C42:C43"/>
    <mergeCell ref="D42:D43"/>
    <mergeCell ref="E42:E43"/>
    <mergeCell ref="A40:A41"/>
    <mergeCell ref="B40:B41"/>
    <mergeCell ref="C40:C41"/>
    <mergeCell ref="D40:D41"/>
    <mergeCell ref="E40:E41"/>
    <mergeCell ref="A38:A39"/>
    <mergeCell ref="B38:B39"/>
    <mergeCell ref="C38:C39"/>
    <mergeCell ref="D38:D39"/>
    <mergeCell ref="E38:E39"/>
    <mergeCell ref="F32:F33"/>
    <mergeCell ref="G32:G33"/>
    <mergeCell ref="I32:I33"/>
    <mergeCell ref="J32:J33"/>
    <mergeCell ref="K32:K33"/>
    <mergeCell ref="L32:L33"/>
    <mergeCell ref="G30:G31"/>
    <mergeCell ref="I30:I31"/>
    <mergeCell ref="J30:J31"/>
    <mergeCell ref="K30:K31"/>
    <mergeCell ref="L30:L31"/>
    <mergeCell ref="F30:F31"/>
    <mergeCell ref="A32:A33"/>
    <mergeCell ref="B32:B33"/>
    <mergeCell ref="C32:C33"/>
    <mergeCell ref="D32:D33"/>
    <mergeCell ref="E32:E33"/>
    <mergeCell ref="A30:A31"/>
    <mergeCell ref="B30:B31"/>
    <mergeCell ref="C30:C31"/>
    <mergeCell ref="D30:D31"/>
    <mergeCell ref="E30:E31"/>
    <mergeCell ref="C22:C23"/>
    <mergeCell ref="D22:D23"/>
    <mergeCell ref="E22:E23"/>
    <mergeCell ref="F28:F29"/>
    <mergeCell ref="G28:G29"/>
    <mergeCell ref="I28:I29"/>
    <mergeCell ref="J28:J29"/>
    <mergeCell ref="K28:K29"/>
    <mergeCell ref="L28:L29"/>
    <mergeCell ref="G26:G27"/>
    <mergeCell ref="I26:I27"/>
    <mergeCell ref="J26:J27"/>
    <mergeCell ref="K26:K27"/>
    <mergeCell ref="L26:L27"/>
    <mergeCell ref="F26:F27"/>
    <mergeCell ref="A28:A29"/>
    <mergeCell ref="B28:B29"/>
    <mergeCell ref="C28:C29"/>
    <mergeCell ref="D28:D29"/>
    <mergeCell ref="E28:E29"/>
    <mergeCell ref="A26:A27"/>
    <mergeCell ref="B26:B27"/>
    <mergeCell ref="C26:C27"/>
    <mergeCell ref="D26:D27"/>
    <mergeCell ref="E26:E27"/>
    <mergeCell ref="I18:I19"/>
    <mergeCell ref="J18:J19"/>
    <mergeCell ref="K18:K19"/>
    <mergeCell ref="L18:L19"/>
    <mergeCell ref="A285:B285"/>
    <mergeCell ref="K286:O286"/>
    <mergeCell ref="A14:A15"/>
    <mergeCell ref="B14:B15"/>
    <mergeCell ref="C14:C15"/>
    <mergeCell ref="D14:D15"/>
    <mergeCell ref="E14:E15"/>
    <mergeCell ref="F14:F15"/>
    <mergeCell ref="G14:G15"/>
    <mergeCell ref="I14:I15"/>
    <mergeCell ref="A284:L284"/>
    <mergeCell ref="J24:J25"/>
    <mergeCell ref="K24:K25"/>
    <mergeCell ref="L24:L25"/>
    <mergeCell ref="G22:G23"/>
    <mergeCell ref="I22:I23"/>
    <mergeCell ref="J22:J23"/>
    <mergeCell ref="K22:K23"/>
    <mergeCell ref="L22:L23"/>
    <mergeCell ref="F22:F23"/>
    <mergeCell ref="F146:F147"/>
    <mergeCell ref="G146:G147"/>
    <mergeCell ref="I146:I147"/>
    <mergeCell ref="J146:J147"/>
    <mergeCell ref="K146:K147"/>
    <mergeCell ref="L146:L147"/>
    <mergeCell ref="G144:G145"/>
    <mergeCell ref="I144:I145"/>
    <mergeCell ref="J144:J145"/>
    <mergeCell ref="K144:K145"/>
    <mergeCell ref="L144:L145"/>
    <mergeCell ref="A146:A147"/>
    <mergeCell ref="B146:B147"/>
    <mergeCell ref="C146:C147"/>
    <mergeCell ref="D146:D147"/>
    <mergeCell ref="E146:E147"/>
    <mergeCell ref="A144:A145"/>
    <mergeCell ref="B144:B145"/>
    <mergeCell ref="C144:C145"/>
    <mergeCell ref="D144:D145"/>
    <mergeCell ref="E144:E145"/>
    <mergeCell ref="F144:F145"/>
    <mergeCell ref="F142:F143"/>
    <mergeCell ref="G142:G143"/>
    <mergeCell ref="I142:I143"/>
    <mergeCell ref="J142:J143"/>
    <mergeCell ref="K142:K143"/>
    <mergeCell ref="L142:L143"/>
    <mergeCell ref="G140:G141"/>
    <mergeCell ref="I140:I141"/>
    <mergeCell ref="J140:J141"/>
    <mergeCell ref="K140:K141"/>
    <mergeCell ref="L140:L141"/>
    <mergeCell ref="F140:F141"/>
    <mergeCell ref="A142:A143"/>
    <mergeCell ref="B142:B143"/>
    <mergeCell ref="C142:C143"/>
    <mergeCell ref="D142:D143"/>
    <mergeCell ref="E142:E143"/>
    <mergeCell ref="A140:A141"/>
    <mergeCell ref="B140:B141"/>
    <mergeCell ref="C140:C141"/>
    <mergeCell ref="D140:D141"/>
    <mergeCell ref="E140:E141"/>
    <mergeCell ref="F138:F139"/>
    <mergeCell ref="G138:G139"/>
    <mergeCell ref="I138:I139"/>
    <mergeCell ref="J138:J139"/>
    <mergeCell ref="K138:K139"/>
    <mergeCell ref="L138:L139"/>
    <mergeCell ref="G136:G137"/>
    <mergeCell ref="I136:I137"/>
    <mergeCell ref="J136:J137"/>
    <mergeCell ref="K136:K137"/>
    <mergeCell ref="L136:L137"/>
    <mergeCell ref="F136:F137"/>
    <mergeCell ref="A138:A139"/>
    <mergeCell ref="B138:B139"/>
    <mergeCell ref="C138:C139"/>
    <mergeCell ref="D138:D139"/>
    <mergeCell ref="E138:E139"/>
    <mergeCell ref="A136:A137"/>
    <mergeCell ref="B136:B137"/>
    <mergeCell ref="C136:C137"/>
    <mergeCell ref="D136:D137"/>
    <mergeCell ref="E136:E137"/>
    <mergeCell ref="F134:F135"/>
    <mergeCell ref="G134:G135"/>
    <mergeCell ref="I134:I135"/>
    <mergeCell ref="J134:J135"/>
    <mergeCell ref="K134:K135"/>
    <mergeCell ref="L134:L135"/>
    <mergeCell ref="A134:A135"/>
    <mergeCell ref="B134:B135"/>
    <mergeCell ref="C134:C135"/>
    <mergeCell ref="D134:D135"/>
    <mergeCell ref="E134:E135"/>
    <mergeCell ref="F104:F105"/>
    <mergeCell ref="G104:G105"/>
    <mergeCell ref="I104:I105"/>
    <mergeCell ref="J104:J105"/>
    <mergeCell ref="K104:K105"/>
    <mergeCell ref="L104:L105"/>
    <mergeCell ref="G102:G103"/>
    <mergeCell ref="I102:I103"/>
    <mergeCell ref="J102:J103"/>
    <mergeCell ref="K126:K127"/>
    <mergeCell ref="L126:L127"/>
    <mergeCell ref="F126:F127"/>
    <mergeCell ref="I114:I115"/>
    <mergeCell ref="J114:J115"/>
    <mergeCell ref="K114:K115"/>
    <mergeCell ref="L114:L115"/>
    <mergeCell ref="F110:F111"/>
    <mergeCell ref="L118:L119"/>
    <mergeCell ref="L110:L111"/>
    <mergeCell ref="G94:G95"/>
    <mergeCell ref="I94:I95"/>
    <mergeCell ref="J94:J95"/>
    <mergeCell ref="K94:K95"/>
    <mergeCell ref="A100:A101"/>
    <mergeCell ref="B100:B101"/>
    <mergeCell ref="C100:C101"/>
    <mergeCell ref="D100:D101"/>
    <mergeCell ref="E100:E101"/>
    <mergeCell ref="A98:A99"/>
    <mergeCell ref="B98:B99"/>
    <mergeCell ref="C98:C99"/>
    <mergeCell ref="D98:D99"/>
    <mergeCell ref="A96:A97"/>
    <mergeCell ref="B96:B97"/>
    <mergeCell ref="C96:C97"/>
    <mergeCell ref="D96:D97"/>
    <mergeCell ref="E96:E97"/>
    <mergeCell ref="A94:A95"/>
    <mergeCell ref="B94:B95"/>
    <mergeCell ref="C94:C95"/>
    <mergeCell ref="D94:D95"/>
    <mergeCell ref="E94:E95"/>
    <mergeCell ref="F82:F83"/>
    <mergeCell ref="G82:G83"/>
    <mergeCell ref="I82:I83"/>
    <mergeCell ref="J82:J83"/>
    <mergeCell ref="K82:K83"/>
    <mergeCell ref="L82:L83"/>
    <mergeCell ref="G80:G81"/>
    <mergeCell ref="I80:I81"/>
    <mergeCell ref="J80:J81"/>
    <mergeCell ref="K80:K81"/>
    <mergeCell ref="L80:L81"/>
    <mergeCell ref="F80:F81"/>
    <mergeCell ref="A82:A83"/>
    <mergeCell ref="B82:B83"/>
    <mergeCell ref="C82:C83"/>
    <mergeCell ref="D82:D83"/>
    <mergeCell ref="E82:E83"/>
    <mergeCell ref="A80:A81"/>
    <mergeCell ref="B80:B81"/>
    <mergeCell ref="C80:C81"/>
    <mergeCell ref="D80:D81"/>
    <mergeCell ref="E80:E81"/>
    <mergeCell ref="F58:F59"/>
    <mergeCell ref="G58:G59"/>
    <mergeCell ref="I58:I59"/>
    <mergeCell ref="J58:J59"/>
    <mergeCell ref="K58:K59"/>
    <mergeCell ref="L58:L59"/>
    <mergeCell ref="G44:G45"/>
    <mergeCell ref="I44:I45"/>
    <mergeCell ref="J44:J45"/>
    <mergeCell ref="K44:K45"/>
    <mergeCell ref="L44:L45"/>
    <mergeCell ref="F44:F45"/>
    <mergeCell ref="F48:F49"/>
    <mergeCell ref="G48:G49"/>
    <mergeCell ref="I48:I49"/>
    <mergeCell ref="J48:J49"/>
    <mergeCell ref="K48:K49"/>
    <mergeCell ref="L48:L49"/>
    <mergeCell ref="G46:G47"/>
    <mergeCell ref="I46:I47"/>
    <mergeCell ref="J46:J47"/>
    <mergeCell ref="K46:K47"/>
    <mergeCell ref="L46:L47"/>
    <mergeCell ref="F46:F47"/>
    <mergeCell ref="J52:J53"/>
    <mergeCell ref="K52:K53"/>
    <mergeCell ref="L52:L53"/>
    <mergeCell ref="G50:G51"/>
    <mergeCell ref="I50:I51"/>
    <mergeCell ref="J50:J51"/>
    <mergeCell ref="K50:K51"/>
    <mergeCell ref="L50:L51"/>
    <mergeCell ref="A58:A59"/>
    <mergeCell ref="B58:B59"/>
    <mergeCell ref="C58:C59"/>
    <mergeCell ref="D58:D59"/>
    <mergeCell ref="E58:E59"/>
    <mergeCell ref="A44:A45"/>
    <mergeCell ref="B44:B45"/>
    <mergeCell ref="C44:C45"/>
    <mergeCell ref="D44:D45"/>
    <mergeCell ref="E44:E45"/>
    <mergeCell ref="A48:A49"/>
    <mergeCell ref="B48:B49"/>
    <mergeCell ref="C48:C49"/>
    <mergeCell ref="D48:D49"/>
    <mergeCell ref="E48:E49"/>
    <mergeCell ref="A46:A47"/>
    <mergeCell ref="B46:B47"/>
    <mergeCell ref="C46:C47"/>
    <mergeCell ref="D46:D47"/>
    <mergeCell ref="E46:E47"/>
    <mergeCell ref="A52:A53"/>
    <mergeCell ref="B52:B53"/>
    <mergeCell ref="C52:C53"/>
    <mergeCell ref="D52:D53"/>
    <mergeCell ref="F34:F35"/>
    <mergeCell ref="G34:G35"/>
    <mergeCell ref="I34:I35"/>
    <mergeCell ref="J34:J35"/>
    <mergeCell ref="K34:K35"/>
    <mergeCell ref="L34:L35"/>
    <mergeCell ref="G12:G13"/>
    <mergeCell ref="I12:I13"/>
    <mergeCell ref="J12:J13"/>
    <mergeCell ref="K12:K13"/>
    <mergeCell ref="L12:L13"/>
    <mergeCell ref="F12:F13"/>
    <mergeCell ref="J14:J15"/>
    <mergeCell ref="K14:K15"/>
    <mergeCell ref="L14:L15"/>
    <mergeCell ref="F16:F17"/>
    <mergeCell ref="G16:G17"/>
    <mergeCell ref="I16:I17"/>
    <mergeCell ref="J16:J17"/>
    <mergeCell ref="K16:K17"/>
    <mergeCell ref="L16:L17"/>
    <mergeCell ref="F24:F25"/>
    <mergeCell ref="G24:G25"/>
    <mergeCell ref="I24:I25"/>
    <mergeCell ref="F18:F19"/>
    <mergeCell ref="F20:F21"/>
    <mergeCell ref="G20:G21"/>
    <mergeCell ref="I20:I21"/>
    <mergeCell ref="J20:J21"/>
    <mergeCell ref="K20:K21"/>
    <mergeCell ref="L20:L21"/>
    <mergeCell ref="G18:G19"/>
    <mergeCell ref="A34:A35"/>
    <mergeCell ref="B34:B35"/>
    <mergeCell ref="C34:C35"/>
    <mergeCell ref="D34:D35"/>
    <mergeCell ref="E34:E35"/>
    <mergeCell ref="A12:A13"/>
    <mergeCell ref="B12:B13"/>
    <mergeCell ref="C12:C13"/>
    <mergeCell ref="D12:D13"/>
    <mergeCell ref="E12:E13"/>
    <mergeCell ref="A16:A17"/>
    <mergeCell ref="B16:B17"/>
    <mergeCell ref="C16:C17"/>
    <mergeCell ref="D16:D17"/>
    <mergeCell ref="E16:E17"/>
    <mergeCell ref="A20:A21"/>
    <mergeCell ref="B20:B21"/>
    <mergeCell ref="C20:C21"/>
    <mergeCell ref="D20:D21"/>
    <mergeCell ref="E20:E21"/>
    <mergeCell ref="A18:A19"/>
    <mergeCell ref="B18:B19"/>
    <mergeCell ref="C18:C19"/>
    <mergeCell ref="D18:D19"/>
    <mergeCell ref="E18:E19"/>
    <mergeCell ref="A24:A25"/>
    <mergeCell ref="B24:B25"/>
    <mergeCell ref="C24:C25"/>
    <mergeCell ref="D24:D25"/>
    <mergeCell ref="E24:E25"/>
    <mergeCell ref="A22:A23"/>
    <mergeCell ref="B22:B23"/>
    <mergeCell ref="P10:P11"/>
    <mergeCell ref="A6:P6"/>
    <mergeCell ref="A7:P7"/>
    <mergeCell ref="A8:P8"/>
    <mergeCell ref="A10:A11"/>
    <mergeCell ref="B10:B11"/>
    <mergeCell ref="C10:C11"/>
    <mergeCell ref="D10:D11"/>
    <mergeCell ref="E10:E11"/>
    <mergeCell ref="F10:I10"/>
    <mergeCell ref="J10:J11"/>
    <mergeCell ref="A1:C1"/>
    <mergeCell ref="G1:O1"/>
    <mergeCell ref="A2:C2"/>
    <mergeCell ref="G2:O2"/>
    <mergeCell ref="A3:C3"/>
    <mergeCell ref="G4:O4"/>
    <mergeCell ref="K10:K11"/>
    <mergeCell ref="L10:L11"/>
    <mergeCell ref="M10:M11"/>
    <mergeCell ref="N10:N11"/>
    <mergeCell ref="O10:O11"/>
    <mergeCell ref="A160:A161"/>
    <mergeCell ref="B160:B161"/>
    <mergeCell ref="C160:C161"/>
    <mergeCell ref="D160:D161"/>
    <mergeCell ref="E160:E161"/>
    <mergeCell ref="F160:F161"/>
    <mergeCell ref="G160:G161"/>
    <mergeCell ref="I160:I161"/>
    <mergeCell ref="J160:J161"/>
    <mergeCell ref="K168:K169"/>
    <mergeCell ref="L168:L169"/>
    <mergeCell ref="A168:A169"/>
    <mergeCell ref="B168:B169"/>
    <mergeCell ref="C168:C169"/>
    <mergeCell ref="D168:D169"/>
    <mergeCell ref="E168:E169"/>
    <mergeCell ref="F168:F169"/>
    <mergeCell ref="G168:G169"/>
    <mergeCell ref="I168:I169"/>
    <mergeCell ref="J168:J169"/>
    <mergeCell ref="K160:K161"/>
    <mergeCell ref="L160:L161"/>
    <mergeCell ref="A162:A163"/>
    <mergeCell ref="B162:B163"/>
    <mergeCell ref="C162:C163"/>
    <mergeCell ref="D162:D163"/>
    <mergeCell ref="E162:E163"/>
    <mergeCell ref="K166:K167"/>
    <mergeCell ref="L166:L167"/>
    <mergeCell ref="A166:A167"/>
    <mergeCell ref="B166:B167"/>
    <mergeCell ref="C166:C167"/>
    <mergeCell ref="F172:F173"/>
    <mergeCell ref="G172:G173"/>
    <mergeCell ref="I172:I173"/>
    <mergeCell ref="J172:J173"/>
    <mergeCell ref="K172:K173"/>
    <mergeCell ref="L172:L173"/>
    <mergeCell ref="A170:A171"/>
    <mergeCell ref="B170:B171"/>
    <mergeCell ref="C170:C171"/>
    <mergeCell ref="D170:D171"/>
    <mergeCell ref="E170:E171"/>
    <mergeCell ref="F170:F171"/>
    <mergeCell ref="G170:G171"/>
    <mergeCell ref="I170:I171"/>
    <mergeCell ref="J170:J171"/>
    <mergeCell ref="K174:K175"/>
    <mergeCell ref="L174:L175"/>
    <mergeCell ref="A174:A175"/>
    <mergeCell ref="B174:B175"/>
    <mergeCell ref="C174:C175"/>
    <mergeCell ref="D174:D175"/>
    <mergeCell ref="E174:E175"/>
    <mergeCell ref="F174:F175"/>
    <mergeCell ref="G174:G175"/>
    <mergeCell ref="I210:I211"/>
    <mergeCell ref="J210:J211"/>
    <mergeCell ref="K210:K211"/>
    <mergeCell ref="L210:L211"/>
    <mergeCell ref="F204:F205"/>
    <mergeCell ref="G204:G205"/>
    <mergeCell ref="I204:I205"/>
    <mergeCell ref="J204:J205"/>
    <mergeCell ref="K204:K205"/>
    <mergeCell ref="L204:L205"/>
    <mergeCell ref="A206:A207"/>
    <mergeCell ref="B206:B207"/>
    <mergeCell ref="C206:C207"/>
    <mergeCell ref="D206:D207"/>
    <mergeCell ref="E206:E207"/>
    <mergeCell ref="F206:F207"/>
    <mergeCell ref="G206:G207"/>
    <mergeCell ref="I206:I207"/>
    <mergeCell ref="J206:J207"/>
    <mergeCell ref="K206:K207"/>
    <mergeCell ref="L206:L207"/>
    <mergeCell ref="J212:J213"/>
    <mergeCell ref="K212:K213"/>
    <mergeCell ref="L212:L213"/>
    <mergeCell ref="A214:A215"/>
    <mergeCell ref="B214:B215"/>
    <mergeCell ref="C214:C215"/>
    <mergeCell ref="D214:D215"/>
    <mergeCell ref="E214:E215"/>
    <mergeCell ref="F214:F215"/>
    <mergeCell ref="G214:G215"/>
    <mergeCell ref="I214:I215"/>
    <mergeCell ref="J214:J215"/>
    <mergeCell ref="K214:K215"/>
    <mergeCell ref="L214:L215"/>
    <mergeCell ref="A208:A209"/>
    <mergeCell ref="B208:B209"/>
    <mergeCell ref="C208:C209"/>
    <mergeCell ref="D208:D209"/>
    <mergeCell ref="E208:E209"/>
    <mergeCell ref="F208:F209"/>
    <mergeCell ref="G208:G209"/>
    <mergeCell ref="I208:I209"/>
    <mergeCell ref="J208:J209"/>
    <mergeCell ref="K208:K209"/>
    <mergeCell ref="L208:L209"/>
    <mergeCell ref="A210:A211"/>
    <mergeCell ref="B210:B211"/>
    <mergeCell ref="C210:C211"/>
    <mergeCell ref="D210:D211"/>
    <mergeCell ref="E210:E211"/>
    <mergeCell ref="F210:F211"/>
    <mergeCell ref="G210:G211"/>
    <mergeCell ref="R178:R179"/>
    <mergeCell ref="R52:R65"/>
    <mergeCell ref="A216:A217"/>
    <mergeCell ref="B216:B217"/>
    <mergeCell ref="C216:C217"/>
    <mergeCell ref="D216:D217"/>
    <mergeCell ref="E216:E217"/>
    <mergeCell ref="F216:F217"/>
    <mergeCell ref="G216:G217"/>
    <mergeCell ref="I216:I217"/>
    <mergeCell ref="J216:J217"/>
    <mergeCell ref="K216:K217"/>
    <mergeCell ref="L216:L217"/>
    <mergeCell ref="A218:A219"/>
    <mergeCell ref="B218:B219"/>
    <mergeCell ref="C218:C219"/>
    <mergeCell ref="D218:D219"/>
    <mergeCell ref="E218:E219"/>
    <mergeCell ref="F218:F219"/>
    <mergeCell ref="G218:G219"/>
    <mergeCell ref="I218:I219"/>
    <mergeCell ref="J218:J219"/>
    <mergeCell ref="K218:K219"/>
    <mergeCell ref="L218:L219"/>
    <mergeCell ref="A212:A213"/>
    <mergeCell ref="B212:B213"/>
    <mergeCell ref="C212:C213"/>
    <mergeCell ref="D212:D213"/>
    <mergeCell ref="E212:E213"/>
    <mergeCell ref="F212:F213"/>
    <mergeCell ref="G212:G213"/>
    <mergeCell ref="I212:I213"/>
    <mergeCell ref="A176:A177"/>
    <mergeCell ref="B176:B177"/>
    <mergeCell ref="C176:C177"/>
    <mergeCell ref="D176:D177"/>
    <mergeCell ref="E176:E177"/>
    <mergeCell ref="F176:F177"/>
    <mergeCell ref="G176:G177"/>
    <mergeCell ref="I176:I177"/>
    <mergeCell ref="J176:J177"/>
    <mergeCell ref="K176:K177"/>
    <mergeCell ref="L176:L177"/>
    <mergeCell ref="R154:R177"/>
    <mergeCell ref="R12:R13"/>
    <mergeCell ref="R94:R95"/>
    <mergeCell ref="R96:R97"/>
    <mergeCell ref="R98:R99"/>
    <mergeCell ref="R100:R101"/>
    <mergeCell ref="I174:I175"/>
    <mergeCell ref="J174:J175"/>
    <mergeCell ref="F162:F163"/>
    <mergeCell ref="G162:G163"/>
    <mergeCell ref="I162:I163"/>
    <mergeCell ref="J162:J163"/>
    <mergeCell ref="K162:K163"/>
    <mergeCell ref="L162:L163"/>
    <mergeCell ref="K170:K171"/>
    <mergeCell ref="L170:L171"/>
    <mergeCell ref="A172:A173"/>
    <mergeCell ref="B172:B173"/>
    <mergeCell ref="C172:C173"/>
    <mergeCell ref="D172:D173"/>
    <mergeCell ref="E172:E173"/>
    <mergeCell ref="A260:A261"/>
    <mergeCell ref="B260:B261"/>
    <mergeCell ref="C260:C261"/>
    <mergeCell ref="D260:D261"/>
    <mergeCell ref="E260:E261"/>
    <mergeCell ref="F260:F261"/>
    <mergeCell ref="G260:G261"/>
    <mergeCell ref="I260:I261"/>
    <mergeCell ref="J260:J261"/>
    <mergeCell ref="K260:K261"/>
    <mergeCell ref="L260:L261"/>
    <mergeCell ref="A262:A263"/>
    <mergeCell ref="B262:B263"/>
    <mergeCell ref="C262:C263"/>
    <mergeCell ref="D262:D263"/>
    <mergeCell ref="E262:E263"/>
    <mergeCell ref="F262:F263"/>
    <mergeCell ref="G262:G263"/>
    <mergeCell ref="I262:I263"/>
    <mergeCell ref="J262:J263"/>
    <mergeCell ref="K262:K263"/>
    <mergeCell ref="L262:L263"/>
    <mergeCell ref="A264:A265"/>
    <mergeCell ref="B264:B265"/>
    <mergeCell ref="C264:C265"/>
    <mergeCell ref="D264:D265"/>
    <mergeCell ref="E264:E265"/>
    <mergeCell ref="F264:F265"/>
    <mergeCell ref="G264:G265"/>
    <mergeCell ref="I264:I265"/>
    <mergeCell ref="J264:J265"/>
    <mergeCell ref="K264:K265"/>
    <mergeCell ref="L264:L265"/>
    <mergeCell ref="A266:A267"/>
    <mergeCell ref="B266:B267"/>
    <mergeCell ref="C266:C267"/>
    <mergeCell ref="D266:D267"/>
    <mergeCell ref="E266:E267"/>
    <mergeCell ref="F266:F267"/>
    <mergeCell ref="G266:G267"/>
    <mergeCell ref="I266:I267"/>
    <mergeCell ref="J266:J267"/>
    <mergeCell ref="K266:K267"/>
    <mergeCell ref="L266:L267"/>
    <mergeCell ref="A268:A269"/>
    <mergeCell ref="B268:B269"/>
    <mergeCell ref="C268:C269"/>
    <mergeCell ref="D268:D269"/>
    <mergeCell ref="E268:E269"/>
    <mergeCell ref="F268:F269"/>
    <mergeCell ref="G268:G269"/>
    <mergeCell ref="I268:I269"/>
    <mergeCell ref="J268:J269"/>
    <mergeCell ref="K268:K269"/>
    <mergeCell ref="L268:L269"/>
    <mergeCell ref="A270:A271"/>
    <mergeCell ref="B270:B271"/>
    <mergeCell ref="C270:C271"/>
    <mergeCell ref="D270:D271"/>
    <mergeCell ref="E270:E271"/>
    <mergeCell ref="F270:F271"/>
    <mergeCell ref="G270:G271"/>
    <mergeCell ref="I270:I271"/>
    <mergeCell ref="J270:J271"/>
    <mergeCell ref="K270:K271"/>
    <mergeCell ref="L270:L271"/>
    <mergeCell ref="A236:A237"/>
    <mergeCell ref="B236:B237"/>
    <mergeCell ref="C236:C237"/>
    <mergeCell ref="D236:D237"/>
    <mergeCell ref="E236:E237"/>
    <mergeCell ref="F236:F237"/>
    <mergeCell ref="G236:G237"/>
    <mergeCell ref="I236:I237"/>
    <mergeCell ref="J236:J237"/>
    <mergeCell ref="K236:K237"/>
    <mergeCell ref="L236:L237"/>
    <mergeCell ref="A238:A239"/>
    <mergeCell ref="B238:B239"/>
    <mergeCell ref="C238:C239"/>
    <mergeCell ref="D238:D239"/>
    <mergeCell ref="E238:E239"/>
    <mergeCell ref="F238:F239"/>
    <mergeCell ref="G238:G239"/>
    <mergeCell ref="I238:I239"/>
    <mergeCell ref="J238:J239"/>
    <mergeCell ref="K238:K239"/>
    <mergeCell ref="L238:L239"/>
    <mergeCell ref="A240:A241"/>
    <mergeCell ref="B240:B241"/>
    <mergeCell ref="C240:C241"/>
    <mergeCell ref="D240:D241"/>
    <mergeCell ref="E240:E241"/>
    <mergeCell ref="F240:F241"/>
    <mergeCell ref="G240:G241"/>
    <mergeCell ref="I240:I241"/>
    <mergeCell ref="J240:J241"/>
    <mergeCell ref="K240:K241"/>
    <mergeCell ref="L240:L241"/>
    <mergeCell ref="A242:A243"/>
    <mergeCell ref="B242:B243"/>
    <mergeCell ref="C242:C243"/>
    <mergeCell ref="D242:D243"/>
    <mergeCell ref="E242:E243"/>
    <mergeCell ref="F242:F243"/>
    <mergeCell ref="G242:G243"/>
    <mergeCell ref="I242:I243"/>
    <mergeCell ref="J242:J243"/>
    <mergeCell ref="K242:K243"/>
    <mergeCell ref="L242:L243"/>
    <mergeCell ref="A244:A245"/>
    <mergeCell ref="B244:B245"/>
    <mergeCell ref="C244:C245"/>
    <mergeCell ref="D244:D245"/>
    <mergeCell ref="E244:E245"/>
    <mergeCell ref="F244:F245"/>
    <mergeCell ref="G244:G245"/>
    <mergeCell ref="I244:I245"/>
    <mergeCell ref="J244:J245"/>
    <mergeCell ref="K244:K245"/>
    <mergeCell ref="L244:L245"/>
    <mergeCell ref="A246:A247"/>
    <mergeCell ref="B246:B247"/>
    <mergeCell ref="C246:C247"/>
    <mergeCell ref="D246:D247"/>
    <mergeCell ref="E246:E247"/>
    <mergeCell ref="F246:F247"/>
    <mergeCell ref="G246:G247"/>
    <mergeCell ref="I246:I247"/>
    <mergeCell ref="J246:J247"/>
    <mergeCell ref="K246:K247"/>
    <mergeCell ref="L246:L247"/>
    <mergeCell ref="A248:A249"/>
    <mergeCell ref="B248:B249"/>
    <mergeCell ref="C248:C249"/>
    <mergeCell ref="D248:D249"/>
    <mergeCell ref="E248:E249"/>
    <mergeCell ref="F248:F249"/>
    <mergeCell ref="G248:G249"/>
    <mergeCell ref="I248:I249"/>
    <mergeCell ref="J248:J249"/>
    <mergeCell ref="K248:K249"/>
    <mergeCell ref="L248:L249"/>
    <mergeCell ref="A250:A251"/>
    <mergeCell ref="B250:B251"/>
    <mergeCell ref="C250:C251"/>
    <mergeCell ref="D250:D251"/>
    <mergeCell ref="E250:E251"/>
    <mergeCell ref="F250:F251"/>
    <mergeCell ref="G250:G251"/>
    <mergeCell ref="I250:I251"/>
    <mergeCell ref="J250:J251"/>
    <mergeCell ref="K250:K251"/>
    <mergeCell ref="L250:L251"/>
    <mergeCell ref="A252:A253"/>
    <mergeCell ref="B252:B253"/>
    <mergeCell ref="C252:C253"/>
    <mergeCell ref="D252:D253"/>
    <mergeCell ref="E252:E253"/>
    <mergeCell ref="F252:F253"/>
    <mergeCell ref="G252:G253"/>
    <mergeCell ref="I252:I253"/>
    <mergeCell ref="J252:J253"/>
    <mergeCell ref="K252:K253"/>
    <mergeCell ref="L252:L253"/>
    <mergeCell ref="A254:A255"/>
    <mergeCell ref="B254:B255"/>
    <mergeCell ref="C254:C255"/>
    <mergeCell ref="D254:D255"/>
    <mergeCell ref="E254:E255"/>
    <mergeCell ref="F254:F255"/>
    <mergeCell ref="G254:G255"/>
    <mergeCell ref="I254:I255"/>
    <mergeCell ref="J254:J255"/>
    <mergeCell ref="K254:K255"/>
    <mergeCell ref="L254:L255"/>
    <mergeCell ref="A256:A257"/>
    <mergeCell ref="B256:B257"/>
    <mergeCell ref="C256:C257"/>
    <mergeCell ref="D256:D257"/>
    <mergeCell ref="E256:E257"/>
    <mergeCell ref="F256:F257"/>
    <mergeCell ref="G256:G257"/>
    <mergeCell ref="I256:I257"/>
    <mergeCell ref="J256:J257"/>
    <mergeCell ref="K256:K257"/>
    <mergeCell ref="L256:L257"/>
    <mergeCell ref="A258:A259"/>
    <mergeCell ref="B258:B259"/>
    <mergeCell ref="C258:C259"/>
    <mergeCell ref="D258:D259"/>
    <mergeCell ref="E258:E259"/>
    <mergeCell ref="F258:F259"/>
    <mergeCell ref="G258:G259"/>
    <mergeCell ref="I258:I259"/>
    <mergeCell ref="J258:J259"/>
    <mergeCell ref="K258:K259"/>
    <mergeCell ref="L258:L259"/>
  </mergeCells>
  <printOptions horizontalCentered="1"/>
  <pageMargins left="0.5" right="0" top="0.5" bottom="0.4" header="0.25" footer="0.15"/>
  <pageSetup paperSize="9" scale="70"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1:AE208"/>
  <sheetViews>
    <sheetView topLeftCell="A4" zoomScale="85" zoomScaleNormal="85" zoomScaleSheetLayoutView="85" workbookViewId="0">
      <selection activeCell="M84" sqref="M84"/>
    </sheetView>
  </sheetViews>
  <sheetFormatPr defaultColWidth="8" defaultRowHeight="15" x14ac:dyDescent="0.2"/>
  <cols>
    <col min="1" max="1" width="5.625" style="208" customWidth="1"/>
    <col min="2" max="2" width="11" style="208" customWidth="1"/>
    <col min="3" max="3" width="32.625" style="208" bestFit="1" customWidth="1"/>
    <col min="4" max="4" width="4.375" style="208" customWidth="1"/>
    <col min="5" max="5" width="8" style="208"/>
    <col min="6" max="7" width="6.375" style="208" customWidth="1"/>
    <col min="8" max="8" width="8.375" style="208" hidden="1" customWidth="1"/>
    <col min="9" max="9" width="6.125" style="208" customWidth="1"/>
    <col min="10" max="10" width="8.875" style="208" customWidth="1"/>
    <col min="11" max="11" width="8.875" style="39" customWidth="1"/>
    <col min="12" max="12" width="9.125" style="39" customWidth="1"/>
    <col min="13" max="13" width="11.375" style="39" customWidth="1"/>
    <col min="14" max="14" width="10.375" style="39" customWidth="1"/>
    <col min="15" max="15" width="25.625" style="39" customWidth="1"/>
    <col min="16" max="16" width="12.375" style="39" customWidth="1"/>
    <col min="17" max="17" width="1.375" style="39" customWidth="1"/>
    <col min="18" max="18" width="46.75" style="39" customWidth="1"/>
    <col min="19" max="16384" width="8" style="39"/>
  </cols>
  <sheetData>
    <row r="1" spans="1:31" ht="20.25" x14ac:dyDescent="0.3">
      <c r="A1" s="514" t="s">
        <v>107</v>
      </c>
      <c r="B1" s="514"/>
      <c r="C1" s="514"/>
      <c r="D1" s="200"/>
      <c r="E1" s="200"/>
      <c r="F1" s="201"/>
      <c r="G1" s="515" t="s">
        <v>42</v>
      </c>
      <c r="H1" s="515"/>
      <c r="I1" s="515"/>
      <c r="J1" s="515"/>
      <c r="K1" s="515"/>
      <c r="L1" s="515"/>
      <c r="M1" s="515"/>
      <c r="N1" s="515"/>
      <c r="O1" s="515"/>
      <c r="P1" s="202"/>
      <c r="Q1" s="203"/>
      <c r="R1" s="203"/>
      <c r="S1" s="203"/>
      <c r="T1" s="203"/>
    </row>
    <row r="2" spans="1:31" ht="20.25" x14ac:dyDescent="0.3">
      <c r="A2" s="514" t="s">
        <v>108</v>
      </c>
      <c r="B2" s="514"/>
      <c r="C2" s="514"/>
      <c r="D2" s="200"/>
      <c r="E2" s="200"/>
      <c r="F2" s="201"/>
      <c r="G2" s="515" t="s">
        <v>43</v>
      </c>
      <c r="H2" s="515"/>
      <c r="I2" s="515"/>
      <c r="J2" s="515"/>
      <c r="K2" s="515"/>
      <c r="L2" s="515"/>
      <c r="M2" s="515"/>
      <c r="N2" s="515"/>
      <c r="O2" s="515"/>
      <c r="P2" s="202"/>
      <c r="Q2" s="203"/>
      <c r="R2" s="203"/>
      <c r="S2" s="203"/>
      <c r="T2" s="203"/>
    </row>
    <row r="3" spans="1:31" ht="20.25" x14ac:dyDescent="0.3">
      <c r="A3" s="515" t="s">
        <v>0</v>
      </c>
      <c r="B3" s="515"/>
      <c r="C3" s="515"/>
      <c r="D3" s="202"/>
      <c r="E3" s="202"/>
      <c r="F3" s="201"/>
      <c r="G3" s="201"/>
      <c r="H3" s="201"/>
      <c r="I3" s="201"/>
      <c r="J3" s="201"/>
      <c r="K3" s="204"/>
      <c r="L3" s="204"/>
      <c r="M3" s="205"/>
      <c r="N3" s="205"/>
      <c r="O3" s="205"/>
      <c r="P3" s="205"/>
      <c r="Q3" s="206"/>
      <c r="R3" s="206"/>
      <c r="S3" s="206"/>
      <c r="T3" s="206"/>
    </row>
    <row r="4" spans="1:31" ht="25.5" x14ac:dyDescent="0.35">
      <c r="A4" s="201"/>
      <c r="B4" s="207"/>
      <c r="D4" s="202"/>
      <c r="E4" s="202"/>
      <c r="G4" s="516" t="s">
        <v>240</v>
      </c>
      <c r="H4" s="516"/>
      <c r="I4" s="516"/>
      <c r="J4" s="516"/>
      <c r="K4" s="516"/>
      <c r="L4" s="516"/>
      <c r="M4" s="516"/>
      <c r="N4" s="516"/>
      <c r="O4" s="516"/>
      <c r="P4" s="209"/>
      <c r="Q4" s="206"/>
      <c r="R4" s="206"/>
      <c r="S4" s="206"/>
      <c r="T4" s="206"/>
    </row>
    <row r="5" spans="1:31" ht="25.5" x14ac:dyDescent="0.35">
      <c r="A5" s="201"/>
      <c r="B5" s="207"/>
      <c r="D5" s="202"/>
      <c r="E5" s="202"/>
      <c r="F5" s="210"/>
      <c r="G5" s="210"/>
      <c r="H5" s="210"/>
      <c r="I5" s="210"/>
      <c r="J5" s="210"/>
      <c r="K5" s="210"/>
      <c r="L5" s="210"/>
      <c r="M5" s="210"/>
      <c r="N5" s="210"/>
      <c r="O5" s="210"/>
      <c r="P5" s="210"/>
      <c r="Q5" s="206"/>
      <c r="R5" s="206"/>
      <c r="S5" s="206"/>
      <c r="T5" s="206"/>
    </row>
    <row r="6" spans="1:31" ht="25.5" x14ac:dyDescent="0.35">
      <c r="A6" s="512" t="s">
        <v>228</v>
      </c>
      <c r="B6" s="512"/>
      <c r="C6" s="512"/>
      <c r="D6" s="512"/>
      <c r="E6" s="512"/>
      <c r="F6" s="512"/>
      <c r="G6" s="512"/>
      <c r="H6" s="512"/>
      <c r="I6" s="512"/>
      <c r="J6" s="512"/>
      <c r="K6" s="512"/>
      <c r="L6" s="512"/>
      <c r="M6" s="512"/>
      <c r="N6" s="512"/>
      <c r="O6" s="512"/>
      <c r="P6" s="512"/>
      <c r="Q6" s="211"/>
      <c r="R6" s="211"/>
      <c r="S6" s="211"/>
      <c r="T6" s="211"/>
      <c r="U6" s="211"/>
      <c r="V6" s="211"/>
      <c r="W6" s="211"/>
      <c r="X6" s="211"/>
      <c r="Y6" s="211"/>
      <c r="Z6" s="211"/>
      <c r="AA6" s="211"/>
      <c r="AB6" s="211"/>
      <c r="AC6" s="211"/>
      <c r="AD6" s="211"/>
      <c r="AE6" s="211"/>
    </row>
    <row r="7" spans="1:31" ht="21.75" x14ac:dyDescent="0.3">
      <c r="A7" s="513" t="s">
        <v>246</v>
      </c>
      <c r="B7" s="513"/>
      <c r="C7" s="513"/>
      <c r="D7" s="513"/>
      <c r="E7" s="513"/>
      <c r="F7" s="513"/>
      <c r="G7" s="513"/>
      <c r="H7" s="513"/>
      <c r="I7" s="513"/>
      <c r="J7" s="513"/>
      <c r="K7" s="513"/>
      <c r="L7" s="513"/>
      <c r="M7" s="513"/>
      <c r="N7" s="513"/>
      <c r="O7" s="513"/>
      <c r="P7" s="513"/>
      <c r="Q7" s="211"/>
      <c r="R7" s="211"/>
      <c r="S7" s="211"/>
      <c r="T7" s="211"/>
      <c r="U7" s="211"/>
      <c r="V7" s="211"/>
      <c r="W7" s="211"/>
      <c r="X7" s="211"/>
      <c r="Y7" s="211"/>
      <c r="Z7" s="211"/>
      <c r="AA7" s="211"/>
      <c r="AB7" s="211"/>
      <c r="AC7" s="211"/>
      <c r="AD7" s="211"/>
      <c r="AE7" s="211"/>
    </row>
    <row r="8" spans="1:31" ht="24" customHeight="1" x14ac:dyDescent="0.25">
      <c r="A8" s="513" t="s">
        <v>247</v>
      </c>
      <c r="B8" s="513"/>
      <c r="C8" s="513"/>
      <c r="D8" s="513"/>
      <c r="E8" s="513"/>
      <c r="F8" s="513"/>
      <c r="G8" s="513"/>
      <c r="H8" s="513"/>
      <c r="I8" s="513"/>
      <c r="J8" s="513"/>
      <c r="K8" s="513"/>
      <c r="L8" s="513"/>
      <c r="M8" s="513"/>
      <c r="N8" s="513"/>
      <c r="O8" s="513"/>
      <c r="P8" s="513"/>
      <c r="Q8" s="212"/>
      <c r="R8" s="212"/>
      <c r="S8" s="212"/>
      <c r="T8" s="212"/>
      <c r="U8" s="212"/>
      <c r="V8" s="212"/>
      <c r="W8" s="212"/>
      <c r="X8" s="212"/>
      <c r="Y8" s="212"/>
      <c r="Z8" s="212"/>
      <c r="AA8" s="212"/>
      <c r="AB8" s="212"/>
      <c r="AC8" s="212"/>
      <c r="AD8" s="212"/>
      <c r="AE8" s="212"/>
    </row>
    <row r="9" spans="1:31" ht="22.5" x14ac:dyDescent="0.3">
      <c r="A9" s="213"/>
      <c r="B9" s="214"/>
      <c r="C9" s="213"/>
      <c r="D9" s="214"/>
      <c r="E9" s="213"/>
      <c r="F9" s="214"/>
      <c r="G9" s="213"/>
      <c r="H9" s="214"/>
      <c r="I9" s="213"/>
      <c r="J9" s="214"/>
      <c r="K9" s="213"/>
      <c r="L9" s="214"/>
      <c r="M9" s="213"/>
      <c r="N9" s="214"/>
      <c r="O9" s="213"/>
      <c r="P9" s="214"/>
      <c r="Q9" s="212"/>
      <c r="R9" s="212"/>
      <c r="S9" s="212"/>
      <c r="T9" s="212"/>
      <c r="U9" s="212"/>
      <c r="V9" s="212"/>
      <c r="W9" s="212"/>
      <c r="X9" s="212"/>
      <c r="Y9" s="212"/>
      <c r="Z9" s="212"/>
      <c r="AA9" s="212"/>
      <c r="AB9" s="212"/>
      <c r="AC9" s="212"/>
      <c r="AD9" s="212"/>
      <c r="AE9" s="212"/>
    </row>
    <row r="10" spans="1:31" ht="27.75" customHeight="1" x14ac:dyDescent="0.2">
      <c r="A10" s="492" t="s">
        <v>2</v>
      </c>
      <c r="B10" s="492" t="s">
        <v>13</v>
      </c>
      <c r="C10" s="492" t="s">
        <v>7</v>
      </c>
      <c r="D10" s="488" t="s">
        <v>45</v>
      </c>
      <c r="E10" s="488" t="s">
        <v>56</v>
      </c>
      <c r="F10" s="494" t="s">
        <v>46</v>
      </c>
      <c r="G10" s="495"/>
      <c r="H10" s="495"/>
      <c r="I10" s="496"/>
      <c r="J10" s="488" t="s">
        <v>65</v>
      </c>
      <c r="K10" s="488" t="s">
        <v>47</v>
      </c>
      <c r="L10" s="488" t="s">
        <v>48</v>
      </c>
      <c r="M10" s="488" t="s">
        <v>49</v>
      </c>
      <c r="N10" s="488" t="s">
        <v>5</v>
      </c>
      <c r="O10" s="488" t="s">
        <v>50</v>
      </c>
      <c r="P10" s="488" t="s">
        <v>64</v>
      </c>
    </row>
    <row r="11" spans="1:31" ht="39.75" customHeight="1" x14ac:dyDescent="0.2">
      <c r="A11" s="489"/>
      <c r="B11" s="489"/>
      <c r="C11" s="489"/>
      <c r="D11" s="493"/>
      <c r="E11" s="493"/>
      <c r="F11" s="56" t="s">
        <v>51</v>
      </c>
      <c r="G11" s="56" t="s">
        <v>52</v>
      </c>
      <c r="H11" s="57"/>
      <c r="I11" s="58" t="s">
        <v>11</v>
      </c>
      <c r="J11" s="489"/>
      <c r="K11" s="493"/>
      <c r="L11" s="493"/>
      <c r="M11" s="493"/>
      <c r="N11" s="493"/>
      <c r="O11" s="493"/>
      <c r="P11" s="489"/>
    </row>
    <row r="12" spans="1:31" ht="20.25" x14ac:dyDescent="0.2">
      <c r="A12" s="417">
        <v>1</v>
      </c>
      <c r="B12" s="417">
        <v>864001</v>
      </c>
      <c r="C12" s="417" t="s">
        <v>229</v>
      </c>
      <c r="D12" s="411">
        <v>3</v>
      </c>
      <c r="E12" s="474"/>
      <c r="F12" s="472"/>
      <c r="G12" s="472"/>
      <c r="H12" s="75"/>
      <c r="I12" s="474"/>
      <c r="J12" s="474"/>
      <c r="K12" s="411">
        <v>1</v>
      </c>
      <c r="L12" s="411">
        <v>60</v>
      </c>
      <c r="M12" s="75">
        <v>10510</v>
      </c>
      <c r="N12" s="75" t="s">
        <v>359</v>
      </c>
      <c r="O12" s="281" t="s">
        <v>144</v>
      </c>
      <c r="P12" s="117">
        <v>45</v>
      </c>
      <c r="R12" s="510"/>
    </row>
    <row r="13" spans="1:31" ht="20.25" x14ac:dyDescent="0.2">
      <c r="A13" s="418"/>
      <c r="B13" s="419"/>
      <c r="C13" s="419"/>
      <c r="D13" s="416"/>
      <c r="E13" s="475"/>
      <c r="F13" s="480"/>
      <c r="G13" s="480"/>
      <c r="H13" s="118"/>
      <c r="I13" s="478"/>
      <c r="J13" s="475"/>
      <c r="K13" s="416"/>
      <c r="L13" s="416"/>
      <c r="M13" s="118"/>
      <c r="N13" s="118"/>
      <c r="O13" s="283"/>
      <c r="P13" s="119"/>
      <c r="R13" s="510"/>
    </row>
    <row r="14" spans="1:31" ht="19.5" x14ac:dyDescent="0.2">
      <c r="A14" s="417">
        <v>2</v>
      </c>
      <c r="B14" s="417">
        <v>864001</v>
      </c>
      <c r="C14" s="417" t="s">
        <v>229</v>
      </c>
      <c r="D14" s="411">
        <v>3</v>
      </c>
      <c r="E14" s="474"/>
      <c r="F14" s="472"/>
      <c r="G14" s="472"/>
      <c r="H14" s="75"/>
      <c r="I14" s="474"/>
      <c r="J14" s="474"/>
      <c r="K14" s="411">
        <v>1</v>
      </c>
      <c r="L14" s="411">
        <v>60</v>
      </c>
      <c r="M14" s="75">
        <v>11202</v>
      </c>
      <c r="N14" s="75" t="s">
        <v>359</v>
      </c>
      <c r="O14" s="280" t="s">
        <v>148</v>
      </c>
      <c r="P14" s="117">
        <v>45</v>
      </c>
    </row>
    <row r="15" spans="1:31" ht="20.25" x14ac:dyDescent="0.2">
      <c r="A15" s="418"/>
      <c r="B15" s="419"/>
      <c r="C15" s="419"/>
      <c r="D15" s="416"/>
      <c r="E15" s="475"/>
      <c r="F15" s="480"/>
      <c r="G15" s="480"/>
      <c r="H15" s="118"/>
      <c r="I15" s="478"/>
      <c r="J15" s="475"/>
      <c r="K15" s="416"/>
      <c r="L15" s="416"/>
      <c r="M15" s="118"/>
      <c r="N15" s="118"/>
      <c r="O15" s="283"/>
      <c r="P15" s="119"/>
    </row>
    <row r="16" spans="1:31" ht="40.5" x14ac:dyDescent="0.2">
      <c r="A16" s="417">
        <v>3</v>
      </c>
      <c r="B16" s="417">
        <v>864001</v>
      </c>
      <c r="C16" s="417" t="s">
        <v>229</v>
      </c>
      <c r="D16" s="411">
        <v>3</v>
      </c>
      <c r="E16" s="474"/>
      <c r="F16" s="472"/>
      <c r="G16" s="472"/>
      <c r="H16" s="75"/>
      <c r="I16" s="474"/>
      <c r="J16" s="474"/>
      <c r="K16" s="411">
        <v>1</v>
      </c>
      <c r="L16" s="411">
        <v>60</v>
      </c>
      <c r="M16" s="75">
        <v>11006</v>
      </c>
      <c r="N16" s="75" t="s">
        <v>346</v>
      </c>
      <c r="O16" s="281" t="s">
        <v>186</v>
      </c>
      <c r="P16" s="117">
        <v>45</v>
      </c>
    </row>
    <row r="17" spans="1:16" ht="20.25" x14ac:dyDescent="0.2">
      <c r="A17" s="418"/>
      <c r="B17" s="419"/>
      <c r="C17" s="419"/>
      <c r="D17" s="416"/>
      <c r="E17" s="475"/>
      <c r="F17" s="480"/>
      <c r="G17" s="480"/>
      <c r="H17" s="118"/>
      <c r="I17" s="478"/>
      <c r="J17" s="475"/>
      <c r="K17" s="416"/>
      <c r="L17" s="416"/>
      <c r="M17" s="118"/>
      <c r="N17" s="118"/>
      <c r="O17" s="283"/>
      <c r="P17" s="119"/>
    </row>
    <row r="18" spans="1:16" ht="20.25" x14ac:dyDescent="0.2">
      <c r="A18" s="417">
        <v>4</v>
      </c>
      <c r="B18" s="417">
        <v>864001</v>
      </c>
      <c r="C18" s="417" t="s">
        <v>229</v>
      </c>
      <c r="D18" s="411">
        <v>3</v>
      </c>
      <c r="E18" s="474"/>
      <c r="F18" s="472"/>
      <c r="G18" s="472"/>
      <c r="H18" s="75"/>
      <c r="I18" s="474"/>
      <c r="J18" s="474"/>
      <c r="K18" s="411">
        <v>1</v>
      </c>
      <c r="L18" s="411">
        <v>60</v>
      </c>
      <c r="M18" s="75">
        <v>10932</v>
      </c>
      <c r="N18" s="75" t="s">
        <v>346</v>
      </c>
      <c r="O18" s="281" t="s">
        <v>146</v>
      </c>
      <c r="P18" s="117">
        <v>45</v>
      </c>
    </row>
    <row r="19" spans="1:16" ht="20.25" x14ac:dyDescent="0.2">
      <c r="A19" s="418"/>
      <c r="B19" s="419"/>
      <c r="C19" s="419"/>
      <c r="D19" s="416"/>
      <c r="E19" s="475"/>
      <c r="F19" s="480"/>
      <c r="G19" s="480"/>
      <c r="H19" s="118"/>
      <c r="I19" s="478"/>
      <c r="J19" s="475"/>
      <c r="K19" s="416"/>
      <c r="L19" s="416"/>
      <c r="M19" s="118"/>
      <c r="N19" s="118"/>
      <c r="O19" s="283"/>
      <c r="P19" s="119"/>
    </row>
    <row r="20" spans="1:16" ht="20.25" x14ac:dyDescent="0.2">
      <c r="A20" s="417">
        <v>5</v>
      </c>
      <c r="B20" s="417">
        <v>864001</v>
      </c>
      <c r="C20" s="417" t="s">
        <v>229</v>
      </c>
      <c r="D20" s="411">
        <v>3</v>
      </c>
      <c r="E20" s="474"/>
      <c r="F20" s="472"/>
      <c r="G20" s="472"/>
      <c r="H20" s="75"/>
      <c r="I20" s="474"/>
      <c r="J20" s="474"/>
      <c r="K20" s="411">
        <v>1</v>
      </c>
      <c r="L20" s="411">
        <v>60</v>
      </c>
      <c r="M20" s="75">
        <v>10131</v>
      </c>
      <c r="N20" s="75" t="s">
        <v>346</v>
      </c>
      <c r="O20" s="281" t="s">
        <v>216</v>
      </c>
      <c r="P20" s="117">
        <v>45</v>
      </c>
    </row>
    <row r="21" spans="1:16" ht="20.25" x14ac:dyDescent="0.2">
      <c r="A21" s="418"/>
      <c r="B21" s="419"/>
      <c r="C21" s="419"/>
      <c r="D21" s="416"/>
      <c r="E21" s="475"/>
      <c r="F21" s="480"/>
      <c r="G21" s="480"/>
      <c r="H21" s="118"/>
      <c r="I21" s="478"/>
      <c r="J21" s="475"/>
      <c r="K21" s="416"/>
      <c r="L21" s="416"/>
      <c r="M21" s="118"/>
      <c r="N21" s="118"/>
      <c r="O21" s="283"/>
      <c r="P21" s="119"/>
    </row>
    <row r="22" spans="1:16" ht="20.25" x14ac:dyDescent="0.2">
      <c r="A22" s="417">
        <v>6</v>
      </c>
      <c r="B22" s="417">
        <v>864001</v>
      </c>
      <c r="C22" s="417" t="s">
        <v>229</v>
      </c>
      <c r="D22" s="411">
        <v>3</v>
      </c>
      <c r="E22" s="474"/>
      <c r="F22" s="472"/>
      <c r="G22" s="472"/>
      <c r="H22" s="75"/>
      <c r="I22" s="474"/>
      <c r="J22" s="474"/>
      <c r="K22" s="411">
        <v>1</v>
      </c>
      <c r="L22" s="411">
        <v>60</v>
      </c>
      <c r="M22" s="75">
        <v>10934</v>
      </c>
      <c r="N22" s="75" t="s">
        <v>346</v>
      </c>
      <c r="O22" s="281" t="s">
        <v>192</v>
      </c>
      <c r="P22" s="117">
        <v>45</v>
      </c>
    </row>
    <row r="23" spans="1:16" ht="20.25" x14ac:dyDescent="0.2">
      <c r="A23" s="418"/>
      <c r="B23" s="419"/>
      <c r="C23" s="419"/>
      <c r="D23" s="416"/>
      <c r="E23" s="475"/>
      <c r="F23" s="480"/>
      <c r="G23" s="480"/>
      <c r="H23" s="118"/>
      <c r="I23" s="478"/>
      <c r="J23" s="475"/>
      <c r="K23" s="416"/>
      <c r="L23" s="416"/>
      <c r="M23" s="118"/>
      <c r="N23" s="118"/>
      <c r="O23" s="283"/>
      <c r="P23" s="119"/>
    </row>
    <row r="24" spans="1:16" ht="20.25" x14ac:dyDescent="0.2">
      <c r="A24" s="417">
        <v>7</v>
      </c>
      <c r="B24" s="417">
        <v>864001</v>
      </c>
      <c r="C24" s="417" t="s">
        <v>229</v>
      </c>
      <c r="D24" s="411">
        <v>3</v>
      </c>
      <c r="E24" s="474"/>
      <c r="F24" s="472"/>
      <c r="G24" s="472"/>
      <c r="H24" s="75"/>
      <c r="I24" s="474"/>
      <c r="J24" s="474"/>
      <c r="K24" s="411">
        <v>1</v>
      </c>
      <c r="L24" s="411">
        <v>60</v>
      </c>
      <c r="M24" s="75">
        <v>11107</v>
      </c>
      <c r="N24" s="75" t="s">
        <v>359</v>
      </c>
      <c r="O24" s="281" t="s">
        <v>177</v>
      </c>
      <c r="P24" s="117">
        <v>45</v>
      </c>
    </row>
    <row r="25" spans="1:16" ht="20.25" x14ac:dyDescent="0.2">
      <c r="A25" s="418"/>
      <c r="B25" s="419"/>
      <c r="C25" s="419"/>
      <c r="D25" s="416"/>
      <c r="E25" s="475"/>
      <c r="F25" s="480"/>
      <c r="G25" s="480"/>
      <c r="H25" s="118"/>
      <c r="I25" s="478"/>
      <c r="J25" s="475"/>
      <c r="K25" s="416"/>
      <c r="L25" s="416"/>
      <c r="M25" s="118"/>
      <c r="N25" s="118"/>
      <c r="O25" s="283"/>
      <c r="P25" s="119"/>
    </row>
    <row r="26" spans="1:16" ht="20.25" x14ac:dyDescent="0.2">
      <c r="A26" s="417">
        <v>8</v>
      </c>
      <c r="B26" s="417">
        <v>864001</v>
      </c>
      <c r="C26" s="417" t="s">
        <v>229</v>
      </c>
      <c r="D26" s="411">
        <v>3</v>
      </c>
      <c r="E26" s="474"/>
      <c r="F26" s="472"/>
      <c r="G26" s="472"/>
      <c r="H26" s="75"/>
      <c r="I26" s="474"/>
      <c r="J26" s="474"/>
      <c r="K26" s="411">
        <v>1</v>
      </c>
      <c r="L26" s="411">
        <v>60</v>
      </c>
      <c r="M26" s="75">
        <v>10135</v>
      </c>
      <c r="N26" s="75" t="s">
        <v>359</v>
      </c>
      <c r="O26" s="281" t="s">
        <v>205</v>
      </c>
      <c r="P26" s="117">
        <v>45</v>
      </c>
    </row>
    <row r="27" spans="1:16" ht="20.25" x14ac:dyDescent="0.2">
      <c r="A27" s="418"/>
      <c r="B27" s="419"/>
      <c r="C27" s="419"/>
      <c r="D27" s="416"/>
      <c r="E27" s="475"/>
      <c r="F27" s="480"/>
      <c r="G27" s="480"/>
      <c r="H27" s="118"/>
      <c r="I27" s="478"/>
      <c r="J27" s="475"/>
      <c r="K27" s="416"/>
      <c r="L27" s="416"/>
      <c r="M27" s="118"/>
      <c r="N27" s="118"/>
      <c r="O27" s="283"/>
      <c r="P27" s="119"/>
    </row>
    <row r="28" spans="1:16" ht="20.25" x14ac:dyDescent="0.2">
      <c r="A28" s="417">
        <v>9</v>
      </c>
      <c r="B28" s="417">
        <v>864001</v>
      </c>
      <c r="C28" s="417" t="s">
        <v>229</v>
      </c>
      <c r="D28" s="411">
        <v>3</v>
      </c>
      <c r="E28" s="474"/>
      <c r="F28" s="472"/>
      <c r="G28" s="472"/>
      <c r="H28" s="75"/>
      <c r="I28" s="474"/>
      <c r="J28" s="474"/>
      <c r="K28" s="411">
        <v>1</v>
      </c>
      <c r="L28" s="411">
        <v>60</v>
      </c>
      <c r="M28" s="75">
        <v>11107</v>
      </c>
      <c r="N28" s="75" t="s">
        <v>359</v>
      </c>
      <c r="O28" s="281" t="s">
        <v>177</v>
      </c>
      <c r="P28" s="117">
        <v>45</v>
      </c>
    </row>
    <row r="29" spans="1:16" ht="20.25" x14ac:dyDescent="0.2">
      <c r="A29" s="418"/>
      <c r="B29" s="419"/>
      <c r="C29" s="419"/>
      <c r="D29" s="416"/>
      <c r="E29" s="475"/>
      <c r="F29" s="480"/>
      <c r="G29" s="480"/>
      <c r="H29" s="118"/>
      <c r="I29" s="478"/>
      <c r="J29" s="475"/>
      <c r="K29" s="416"/>
      <c r="L29" s="416"/>
      <c r="M29" s="118"/>
      <c r="N29" s="118"/>
      <c r="O29" s="283"/>
      <c r="P29" s="119"/>
    </row>
    <row r="30" spans="1:16" ht="20.25" x14ac:dyDescent="0.2">
      <c r="A30" s="417">
        <v>10</v>
      </c>
      <c r="B30" s="417">
        <v>864001</v>
      </c>
      <c r="C30" s="417" t="s">
        <v>229</v>
      </c>
      <c r="D30" s="411">
        <v>3</v>
      </c>
      <c r="E30" s="474"/>
      <c r="F30" s="472"/>
      <c r="G30" s="472"/>
      <c r="H30" s="75"/>
      <c r="I30" s="474"/>
      <c r="J30" s="474"/>
      <c r="K30" s="411">
        <v>1</v>
      </c>
      <c r="L30" s="411">
        <v>60</v>
      </c>
      <c r="M30" s="75">
        <v>10135</v>
      </c>
      <c r="N30" s="75" t="s">
        <v>359</v>
      </c>
      <c r="O30" s="281" t="s">
        <v>205</v>
      </c>
      <c r="P30" s="117">
        <v>45</v>
      </c>
    </row>
    <row r="31" spans="1:16" ht="20.25" x14ac:dyDescent="0.2">
      <c r="A31" s="418"/>
      <c r="B31" s="419"/>
      <c r="C31" s="419"/>
      <c r="D31" s="416"/>
      <c r="E31" s="475"/>
      <c r="F31" s="480"/>
      <c r="G31" s="480"/>
      <c r="H31" s="118"/>
      <c r="I31" s="478"/>
      <c r="J31" s="475"/>
      <c r="K31" s="416"/>
      <c r="L31" s="416"/>
      <c r="M31" s="118"/>
      <c r="N31" s="118"/>
      <c r="O31" s="283"/>
      <c r="P31" s="119"/>
    </row>
    <row r="32" spans="1:16" ht="20.25" x14ac:dyDescent="0.2">
      <c r="A32" s="417">
        <v>11</v>
      </c>
      <c r="B32" s="417">
        <v>864001</v>
      </c>
      <c r="C32" s="417" t="s">
        <v>229</v>
      </c>
      <c r="D32" s="411">
        <v>3</v>
      </c>
      <c r="E32" s="474"/>
      <c r="F32" s="472"/>
      <c r="G32" s="472"/>
      <c r="H32" s="75"/>
      <c r="I32" s="474"/>
      <c r="J32" s="474"/>
      <c r="K32" s="411">
        <v>1</v>
      </c>
      <c r="L32" s="411">
        <v>60</v>
      </c>
      <c r="M32" s="75">
        <v>11489</v>
      </c>
      <c r="N32" s="75" t="s">
        <v>359</v>
      </c>
      <c r="O32" s="281" t="s">
        <v>241</v>
      </c>
      <c r="P32" s="117">
        <v>45</v>
      </c>
    </row>
    <row r="33" spans="1:18" ht="20.25" x14ac:dyDescent="0.2">
      <c r="A33" s="418"/>
      <c r="B33" s="419"/>
      <c r="C33" s="419"/>
      <c r="D33" s="416"/>
      <c r="E33" s="475"/>
      <c r="F33" s="480"/>
      <c r="G33" s="480"/>
      <c r="H33" s="118"/>
      <c r="I33" s="478"/>
      <c r="J33" s="475"/>
      <c r="K33" s="416"/>
      <c r="L33" s="416"/>
      <c r="M33" s="118"/>
      <c r="N33" s="118"/>
      <c r="O33" s="283"/>
      <c r="P33" s="119"/>
    </row>
    <row r="34" spans="1:18" ht="20.25" x14ac:dyDescent="0.2">
      <c r="A34" s="417">
        <v>12</v>
      </c>
      <c r="B34" s="417">
        <v>864001</v>
      </c>
      <c r="C34" s="417" t="s">
        <v>229</v>
      </c>
      <c r="D34" s="411">
        <v>3</v>
      </c>
      <c r="E34" s="474"/>
      <c r="F34" s="472"/>
      <c r="G34" s="472"/>
      <c r="H34" s="75"/>
      <c r="I34" s="474"/>
      <c r="J34" s="474"/>
      <c r="K34" s="411">
        <v>1</v>
      </c>
      <c r="L34" s="411">
        <v>60</v>
      </c>
      <c r="M34" s="75">
        <v>11381</v>
      </c>
      <c r="N34" s="75" t="s">
        <v>361</v>
      </c>
      <c r="O34" s="281" t="s">
        <v>195</v>
      </c>
      <c r="P34" s="117">
        <v>45</v>
      </c>
    </row>
    <row r="35" spans="1:18" ht="20.25" x14ac:dyDescent="0.2">
      <c r="A35" s="418"/>
      <c r="B35" s="419"/>
      <c r="C35" s="419"/>
      <c r="D35" s="416"/>
      <c r="E35" s="475"/>
      <c r="F35" s="480"/>
      <c r="G35" s="480"/>
      <c r="H35" s="118"/>
      <c r="I35" s="478"/>
      <c r="J35" s="475"/>
      <c r="K35" s="416"/>
      <c r="L35" s="416"/>
      <c r="M35" s="118"/>
      <c r="N35" s="118"/>
      <c r="O35" s="283"/>
      <c r="P35" s="119"/>
    </row>
    <row r="36" spans="1:18" ht="20.25" x14ac:dyDescent="0.2">
      <c r="A36" s="417">
        <v>13</v>
      </c>
      <c r="B36" s="417">
        <v>864001</v>
      </c>
      <c r="C36" s="417" t="s">
        <v>229</v>
      </c>
      <c r="D36" s="411">
        <v>3</v>
      </c>
      <c r="E36" s="474"/>
      <c r="F36" s="472"/>
      <c r="G36" s="472"/>
      <c r="H36" s="75"/>
      <c r="I36" s="474"/>
      <c r="J36" s="474"/>
      <c r="K36" s="411">
        <v>1</v>
      </c>
      <c r="L36" s="411">
        <v>60</v>
      </c>
      <c r="M36" s="75">
        <v>10932</v>
      </c>
      <c r="N36" s="75" t="s">
        <v>346</v>
      </c>
      <c r="O36" s="281" t="s">
        <v>146</v>
      </c>
      <c r="P36" s="117">
        <v>45</v>
      </c>
    </row>
    <row r="37" spans="1:18" ht="20.25" x14ac:dyDescent="0.2">
      <c r="A37" s="418"/>
      <c r="B37" s="419"/>
      <c r="C37" s="419"/>
      <c r="D37" s="416"/>
      <c r="E37" s="475"/>
      <c r="F37" s="480"/>
      <c r="G37" s="480"/>
      <c r="H37" s="118"/>
      <c r="I37" s="478"/>
      <c r="J37" s="475"/>
      <c r="K37" s="416"/>
      <c r="L37" s="416"/>
      <c r="M37" s="118"/>
      <c r="N37" s="118"/>
      <c r="O37" s="283"/>
      <c r="P37" s="119"/>
    </row>
    <row r="38" spans="1:18" ht="20.25" x14ac:dyDescent="0.2">
      <c r="A38" s="417">
        <v>14</v>
      </c>
      <c r="B38" s="417">
        <v>864001</v>
      </c>
      <c r="C38" s="417" t="s">
        <v>229</v>
      </c>
      <c r="D38" s="411">
        <v>3</v>
      </c>
      <c r="E38" s="474"/>
      <c r="F38" s="472"/>
      <c r="G38" s="472"/>
      <c r="H38" s="75"/>
      <c r="I38" s="474"/>
      <c r="J38" s="474"/>
      <c r="K38" s="411">
        <v>1</v>
      </c>
      <c r="L38" s="411">
        <v>60</v>
      </c>
      <c r="M38" s="75">
        <v>10131</v>
      </c>
      <c r="N38" s="75" t="s">
        <v>346</v>
      </c>
      <c r="O38" s="281" t="s">
        <v>216</v>
      </c>
      <c r="P38" s="117">
        <v>45</v>
      </c>
    </row>
    <row r="39" spans="1:18" ht="20.25" x14ac:dyDescent="0.2">
      <c r="A39" s="418"/>
      <c r="B39" s="419"/>
      <c r="C39" s="419"/>
      <c r="D39" s="416"/>
      <c r="E39" s="475"/>
      <c r="F39" s="480"/>
      <c r="G39" s="480"/>
      <c r="H39" s="118"/>
      <c r="I39" s="478"/>
      <c r="J39" s="475"/>
      <c r="K39" s="416"/>
      <c r="L39" s="416"/>
      <c r="M39" s="118"/>
      <c r="N39" s="118"/>
      <c r="O39" s="283"/>
      <c r="P39" s="119"/>
    </row>
    <row r="40" spans="1:18" ht="20.25" x14ac:dyDescent="0.2">
      <c r="A40" s="417">
        <v>1</v>
      </c>
      <c r="B40" s="417">
        <v>864002</v>
      </c>
      <c r="C40" s="417" t="s">
        <v>230</v>
      </c>
      <c r="D40" s="411">
        <v>3</v>
      </c>
      <c r="E40" s="474"/>
      <c r="F40" s="472"/>
      <c r="G40" s="472"/>
      <c r="H40" s="75"/>
      <c r="I40" s="474"/>
      <c r="J40" s="474"/>
      <c r="K40" s="411">
        <v>1</v>
      </c>
      <c r="L40" s="411">
        <v>60</v>
      </c>
      <c r="M40" s="75">
        <v>10145</v>
      </c>
      <c r="N40" s="75" t="s">
        <v>346</v>
      </c>
      <c r="O40" s="281" t="s">
        <v>147</v>
      </c>
      <c r="P40" s="117">
        <v>45</v>
      </c>
    </row>
    <row r="41" spans="1:18" ht="20.25" x14ac:dyDescent="0.2">
      <c r="A41" s="418"/>
      <c r="B41" s="419"/>
      <c r="C41" s="419"/>
      <c r="D41" s="416"/>
      <c r="E41" s="475"/>
      <c r="F41" s="480"/>
      <c r="G41" s="480"/>
      <c r="H41" s="118"/>
      <c r="I41" s="478"/>
      <c r="J41" s="475"/>
      <c r="K41" s="416"/>
      <c r="L41" s="416"/>
      <c r="M41" s="118"/>
      <c r="N41" s="118"/>
      <c r="O41" s="283"/>
      <c r="P41" s="119"/>
    </row>
    <row r="42" spans="1:18" ht="20.25" x14ac:dyDescent="0.2">
      <c r="A42" s="417">
        <v>2</v>
      </c>
      <c r="B42" s="417">
        <v>864002</v>
      </c>
      <c r="C42" s="417" t="s">
        <v>230</v>
      </c>
      <c r="D42" s="411">
        <v>3</v>
      </c>
      <c r="E42" s="474"/>
      <c r="F42" s="472"/>
      <c r="G42" s="472"/>
      <c r="H42" s="75"/>
      <c r="I42" s="474"/>
      <c r="J42" s="474"/>
      <c r="K42" s="411">
        <v>1</v>
      </c>
      <c r="L42" s="411">
        <v>60</v>
      </c>
      <c r="M42" s="75">
        <v>10145</v>
      </c>
      <c r="N42" s="75" t="s">
        <v>346</v>
      </c>
      <c r="O42" s="281" t="s">
        <v>147</v>
      </c>
      <c r="P42" s="117">
        <v>45</v>
      </c>
    </row>
    <row r="43" spans="1:18" ht="20.25" x14ac:dyDescent="0.2">
      <c r="A43" s="418"/>
      <c r="B43" s="419"/>
      <c r="C43" s="419"/>
      <c r="D43" s="416"/>
      <c r="E43" s="475"/>
      <c r="F43" s="480"/>
      <c r="G43" s="480"/>
      <c r="H43" s="118"/>
      <c r="I43" s="478"/>
      <c r="J43" s="475"/>
      <c r="K43" s="416"/>
      <c r="L43" s="416"/>
      <c r="M43" s="118"/>
      <c r="N43" s="118"/>
      <c r="O43" s="283"/>
      <c r="P43" s="119"/>
    </row>
    <row r="44" spans="1:18" ht="19.5" x14ac:dyDescent="0.2">
      <c r="A44" s="517">
        <v>1</v>
      </c>
      <c r="B44" s="517">
        <v>867001</v>
      </c>
      <c r="C44" s="517" t="s">
        <v>231</v>
      </c>
      <c r="D44" s="519">
        <v>3</v>
      </c>
      <c r="E44" s="519"/>
      <c r="F44" s="517"/>
      <c r="G44" s="517"/>
      <c r="H44" s="257"/>
      <c r="I44" s="519"/>
      <c r="J44" s="519"/>
      <c r="K44" s="519">
        <v>1</v>
      </c>
      <c r="L44" s="519">
        <v>120</v>
      </c>
      <c r="M44" s="257">
        <v>10903</v>
      </c>
      <c r="N44" s="257" t="s">
        <v>359</v>
      </c>
      <c r="O44" s="258" t="s">
        <v>161</v>
      </c>
      <c r="P44" s="259">
        <v>45</v>
      </c>
      <c r="R44" s="509" t="s">
        <v>319</v>
      </c>
    </row>
    <row r="45" spans="1:18" ht="19.5" x14ac:dyDescent="0.2">
      <c r="A45" s="518"/>
      <c r="B45" s="518"/>
      <c r="C45" s="518"/>
      <c r="D45" s="520"/>
      <c r="E45" s="521"/>
      <c r="F45" s="518"/>
      <c r="G45" s="518"/>
      <c r="H45" s="260"/>
      <c r="I45" s="520"/>
      <c r="J45" s="521"/>
      <c r="K45" s="520"/>
      <c r="L45" s="520"/>
      <c r="M45" s="260"/>
      <c r="N45" s="260"/>
      <c r="O45" s="261"/>
      <c r="P45" s="262"/>
      <c r="R45" s="509"/>
    </row>
    <row r="46" spans="1:18" ht="19.5" x14ac:dyDescent="0.2">
      <c r="A46" s="517">
        <v>2</v>
      </c>
      <c r="B46" s="517">
        <v>867001</v>
      </c>
      <c r="C46" s="517" t="s">
        <v>231</v>
      </c>
      <c r="D46" s="519">
        <v>3</v>
      </c>
      <c r="E46" s="519"/>
      <c r="F46" s="517"/>
      <c r="G46" s="517"/>
      <c r="H46" s="257"/>
      <c r="I46" s="519"/>
      <c r="J46" s="519"/>
      <c r="K46" s="519">
        <v>1</v>
      </c>
      <c r="L46" s="519">
        <v>120</v>
      </c>
      <c r="M46" s="257">
        <v>10903</v>
      </c>
      <c r="N46" s="257" t="s">
        <v>359</v>
      </c>
      <c r="O46" s="258" t="s">
        <v>161</v>
      </c>
      <c r="P46" s="259">
        <v>45</v>
      </c>
      <c r="R46" s="509"/>
    </row>
    <row r="47" spans="1:18" ht="19.5" x14ac:dyDescent="0.2">
      <c r="A47" s="518"/>
      <c r="B47" s="518"/>
      <c r="C47" s="518"/>
      <c r="D47" s="520"/>
      <c r="E47" s="521"/>
      <c r="F47" s="518"/>
      <c r="G47" s="518"/>
      <c r="H47" s="260"/>
      <c r="I47" s="520"/>
      <c r="J47" s="521"/>
      <c r="K47" s="520"/>
      <c r="L47" s="520"/>
      <c r="M47" s="260"/>
      <c r="N47" s="260"/>
      <c r="O47" s="261"/>
      <c r="P47" s="262"/>
      <c r="R47" s="509"/>
    </row>
    <row r="48" spans="1:18" ht="19.5" x14ac:dyDescent="0.2">
      <c r="A48" s="517">
        <v>3</v>
      </c>
      <c r="B48" s="517">
        <v>867001</v>
      </c>
      <c r="C48" s="517" t="s">
        <v>231</v>
      </c>
      <c r="D48" s="519">
        <v>3</v>
      </c>
      <c r="E48" s="519"/>
      <c r="F48" s="517"/>
      <c r="G48" s="517"/>
      <c r="H48" s="257"/>
      <c r="I48" s="519"/>
      <c r="J48" s="519"/>
      <c r="K48" s="519">
        <v>1</v>
      </c>
      <c r="L48" s="519">
        <v>120</v>
      </c>
      <c r="M48" s="257">
        <v>10903</v>
      </c>
      <c r="N48" s="257" t="s">
        <v>359</v>
      </c>
      <c r="O48" s="258" t="s">
        <v>161</v>
      </c>
      <c r="P48" s="259">
        <v>45</v>
      </c>
      <c r="R48" s="509"/>
    </row>
    <row r="49" spans="1:18" ht="19.5" x14ac:dyDescent="0.2">
      <c r="A49" s="518"/>
      <c r="B49" s="518"/>
      <c r="C49" s="518"/>
      <c r="D49" s="520"/>
      <c r="E49" s="521"/>
      <c r="F49" s="518"/>
      <c r="G49" s="518"/>
      <c r="H49" s="260"/>
      <c r="I49" s="520"/>
      <c r="J49" s="521"/>
      <c r="K49" s="520"/>
      <c r="L49" s="520"/>
      <c r="M49" s="260"/>
      <c r="N49" s="260"/>
      <c r="O49" s="261"/>
      <c r="P49" s="262"/>
      <c r="R49" s="509"/>
    </row>
    <row r="50" spans="1:18" ht="19.5" x14ac:dyDescent="0.2">
      <c r="A50" s="517">
        <v>4</v>
      </c>
      <c r="B50" s="517">
        <v>867001</v>
      </c>
      <c r="C50" s="517" t="s">
        <v>231</v>
      </c>
      <c r="D50" s="519">
        <v>3</v>
      </c>
      <c r="E50" s="519"/>
      <c r="F50" s="517"/>
      <c r="G50" s="517"/>
      <c r="H50" s="257"/>
      <c r="I50" s="519"/>
      <c r="J50" s="519"/>
      <c r="K50" s="519">
        <v>1</v>
      </c>
      <c r="L50" s="519">
        <v>120</v>
      </c>
      <c r="M50" s="257">
        <v>10985</v>
      </c>
      <c r="N50" s="257" t="s">
        <v>359</v>
      </c>
      <c r="O50" s="258" t="s">
        <v>155</v>
      </c>
      <c r="P50" s="259">
        <v>45</v>
      </c>
      <c r="R50" s="509"/>
    </row>
    <row r="51" spans="1:18" ht="19.5" x14ac:dyDescent="0.2">
      <c r="A51" s="518"/>
      <c r="B51" s="518"/>
      <c r="C51" s="518"/>
      <c r="D51" s="520"/>
      <c r="E51" s="521"/>
      <c r="F51" s="518"/>
      <c r="G51" s="518"/>
      <c r="H51" s="260"/>
      <c r="I51" s="520"/>
      <c r="J51" s="521"/>
      <c r="K51" s="520"/>
      <c r="L51" s="520"/>
      <c r="M51" s="260"/>
      <c r="N51" s="260"/>
      <c r="O51" s="261"/>
      <c r="P51" s="262"/>
      <c r="R51" s="509"/>
    </row>
    <row r="52" spans="1:18" ht="19.5" x14ac:dyDescent="0.2">
      <c r="A52" s="517">
        <v>5</v>
      </c>
      <c r="B52" s="517">
        <v>867001</v>
      </c>
      <c r="C52" s="517" t="s">
        <v>231</v>
      </c>
      <c r="D52" s="519">
        <v>3</v>
      </c>
      <c r="E52" s="519"/>
      <c r="F52" s="517"/>
      <c r="G52" s="517"/>
      <c r="H52" s="257"/>
      <c r="I52" s="519"/>
      <c r="J52" s="519"/>
      <c r="K52" s="519">
        <v>1</v>
      </c>
      <c r="L52" s="519">
        <v>120</v>
      </c>
      <c r="M52" s="257">
        <v>10985</v>
      </c>
      <c r="N52" s="257" t="s">
        <v>359</v>
      </c>
      <c r="O52" s="258" t="s">
        <v>155</v>
      </c>
      <c r="P52" s="259">
        <v>45</v>
      </c>
      <c r="R52" s="509"/>
    </row>
    <row r="53" spans="1:18" ht="19.5" x14ac:dyDescent="0.2">
      <c r="A53" s="518"/>
      <c r="B53" s="518"/>
      <c r="C53" s="518"/>
      <c r="D53" s="520"/>
      <c r="E53" s="521"/>
      <c r="F53" s="518"/>
      <c r="G53" s="518"/>
      <c r="H53" s="260"/>
      <c r="I53" s="520"/>
      <c r="J53" s="521"/>
      <c r="K53" s="520"/>
      <c r="L53" s="520"/>
      <c r="M53" s="260"/>
      <c r="N53" s="260"/>
      <c r="O53" s="261"/>
      <c r="P53" s="262"/>
      <c r="R53" s="509"/>
    </row>
    <row r="54" spans="1:18" ht="19.5" x14ac:dyDescent="0.2">
      <c r="A54" s="417">
        <v>1</v>
      </c>
      <c r="B54" s="417">
        <v>867006</v>
      </c>
      <c r="C54" s="417" t="s">
        <v>232</v>
      </c>
      <c r="D54" s="411">
        <v>2</v>
      </c>
      <c r="E54" s="474"/>
      <c r="F54" s="472"/>
      <c r="G54" s="472"/>
      <c r="H54" s="75"/>
      <c r="I54" s="474"/>
      <c r="J54" s="474"/>
      <c r="K54" s="411">
        <v>1</v>
      </c>
      <c r="L54" s="411">
        <v>60</v>
      </c>
      <c r="M54" s="75">
        <v>10144</v>
      </c>
      <c r="N54" s="75" t="s">
        <v>346</v>
      </c>
      <c r="O54" s="280" t="s">
        <v>211</v>
      </c>
      <c r="P54" s="117">
        <v>30</v>
      </c>
    </row>
    <row r="55" spans="1:18" ht="19.5" x14ac:dyDescent="0.2">
      <c r="A55" s="418"/>
      <c r="B55" s="419"/>
      <c r="C55" s="419"/>
      <c r="D55" s="412"/>
      <c r="E55" s="475"/>
      <c r="F55" s="480"/>
      <c r="G55" s="480"/>
      <c r="H55" s="118"/>
      <c r="I55" s="478"/>
      <c r="J55" s="475"/>
      <c r="K55" s="412"/>
      <c r="L55" s="412"/>
      <c r="M55" s="118"/>
      <c r="N55" s="118"/>
      <c r="O55" s="284"/>
      <c r="P55" s="119"/>
    </row>
    <row r="56" spans="1:18" ht="19.5" x14ac:dyDescent="0.2">
      <c r="A56" s="417">
        <v>2</v>
      </c>
      <c r="B56" s="417">
        <v>867006</v>
      </c>
      <c r="C56" s="417" t="s">
        <v>232</v>
      </c>
      <c r="D56" s="411">
        <v>2</v>
      </c>
      <c r="E56" s="474"/>
      <c r="F56" s="472"/>
      <c r="G56" s="472"/>
      <c r="H56" s="75"/>
      <c r="I56" s="474"/>
      <c r="J56" s="474"/>
      <c r="K56" s="411">
        <v>1</v>
      </c>
      <c r="L56" s="411">
        <v>60</v>
      </c>
      <c r="M56" s="75">
        <v>10144</v>
      </c>
      <c r="N56" s="75" t="s">
        <v>346</v>
      </c>
      <c r="O56" s="280" t="s">
        <v>211</v>
      </c>
      <c r="P56" s="117">
        <v>30</v>
      </c>
    </row>
    <row r="57" spans="1:18" ht="19.5" x14ac:dyDescent="0.2">
      <c r="A57" s="418"/>
      <c r="B57" s="419"/>
      <c r="C57" s="419"/>
      <c r="D57" s="412"/>
      <c r="E57" s="475"/>
      <c r="F57" s="473"/>
      <c r="G57" s="473"/>
      <c r="H57" s="76"/>
      <c r="I57" s="475"/>
      <c r="J57" s="475"/>
      <c r="K57" s="412"/>
      <c r="L57" s="412"/>
      <c r="M57" s="76"/>
      <c r="N57" s="76"/>
      <c r="O57" s="284"/>
      <c r="P57" s="120"/>
    </row>
    <row r="58" spans="1:18" ht="19.5" x14ac:dyDescent="0.2">
      <c r="A58" s="417">
        <v>3</v>
      </c>
      <c r="B58" s="417">
        <v>867006</v>
      </c>
      <c r="C58" s="417" t="s">
        <v>232</v>
      </c>
      <c r="D58" s="411">
        <v>2</v>
      </c>
      <c r="E58" s="474"/>
      <c r="F58" s="472"/>
      <c r="G58" s="472"/>
      <c r="H58" s="75"/>
      <c r="I58" s="474"/>
      <c r="J58" s="474"/>
      <c r="K58" s="411">
        <v>1</v>
      </c>
      <c r="L58" s="411">
        <v>60</v>
      </c>
      <c r="M58" s="75">
        <v>10144</v>
      </c>
      <c r="N58" s="75" t="s">
        <v>346</v>
      </c>
      <c r="O58" s="280" t="s">
        <v>211</v>
      </c>
      <c r="P58" s="117">
        <v>30</v>
      </c>
    </row>
    <row r="59" spans="1:18" ht="19.5" x14ac:dyDescent="0.2">
      <c r="A59" s="418"/>
      <c r="B59" s="419"/>
      <c r="C59" s="419"/>
      <c r="D59" s="412"/>
      <c r="E59" s="475"/>
      <c r="F59" s="473"/>
      <c r="G59" s="473"/>
      <c r="H59" s="76"/>
      <c r="I59" s="475"/>
      <c r="J59" s="475"/>
      <c r="K59" s="412"/>
      <c r="L59" s="412"/>
      <c r="M59" s="76"/>
      <c r="N59" s="76"/>
      <c r="O59" s="284"/>
      <c r="P59" s="120"/>
    </row>
    <row r="60" spans="1:18" ht="19.5" x14ac:dyDescent="0.2">
      <c r="A60" s="417">
        <v>4</v>
      </c>
      <c r="B60" s="417">
        <v>867006</v>
      </c>
      <c r="C60" s="417" t="s">
        <v>232</v>
      </c>
      <c r="D60" s="411">
        <v>2</v>
      </c>
      <c r="E60" s="474"/>
      <c r="F60" s="472"/>
      <c r="G60" s="472"/>
      <c r="H60" s="75"/>
      <c r="I60" s="474"/>
      <c r="J60" s="474"/>
      <c r="K60" s="411">
        <v>1</v>
      </c>
      <c r="L60" s="411">
        <v>60</v>
      </c>
      <c r="M60" s="75">
        <v>10145</v>
      </c>
      <c r="N60" s="75" t="s">
        <v>346</v>
      </c>
      <c r="O60" s="280" t="s">
        <v>147</v>
      </c>
      <c r="P60" s="117">
        <v>30</v>
      </c>
    </row>
    <row r="61" spans="1:18" ht="19.5" x14ac:dyDescent="0.2">
      <c r="A61" s="418"/>
      <c r="B61" s="419"/>
      <c r="C61" s="419"/>
      <c r="D61" s="412"/>
      <c r="E61" s="475"/>
      <c r="F61" s="473"/>
      <c r="G61" s="473"/>
      <c r="H61" s="76"/>
      <c r="I61" s="475"/>
      <c r="J61" s="475"/>
      <c r="K61" s="412"/>
      <c r="L61" s="412"/>
      <c r="M61" s="76"/>
      <c r="N61" s="76"/>
      <c r="O61" s="284"/>
      <c r="P61" s="120"/>
    </row>
    <row r="62" spans="1:18" ht="19.5" x14ac:dyDescent="0.2">
      <c r="A62" s="417">
        <v>5</v>
      </c>
      <c r="B62" s="417">
        <v>867006</v>
      </c>
      <c r="C62" s="417" t="s">
        <v>232</v>
      </c>
      <c r="D62" s="411">
        <v>2</v>
      </c>
      <c r="E62" s="474"/>
      <c r="F62" s="472"/>
      <c r="G62" s="472"/>
      <c r="H62" s="75"/>
      <c r="I62" s="474"/>
      <c r="J62" s="474"/>
      <c r="K62" s="411">
        <v>1</v>
      </c>
      <c r="L62" s="411">
        <v>60</v>
      </c>
      <c r="M62" s="75">
        <v>10145</v>
      </c>
      <c r="N62" s="75" t="s">
        <v>346</v>
      </c>
      <c r="O62" s="280" t="s">
        <v>147</v>
      </c>
      <c r="P62" s="117">
        <v>30</v>
      </c>
    </row>
    <row r="63" spans="1:18" ht="19.5" x14ac:dyDescent="0.2">
      <c r="A63" s="418"/>
      <c r="B63" s="419"/>
      <c r="C63" s="419"/>
      <c r="D63" s="412"/>
      <c r="E63" s="475"/>
      <c r="F63" s="473"/>
      <c r="G63" s="473"/>
      <c r="H63" s="76"/>
      <c r="I63" s="475"/>
      <c r="J63" s="475"/>
      <c r="K63" s="412"/>
      <c r="L63" s="412"/>
      <c r="M63" s="76"/>
      <c r="N63" s="76"/>
      <c r="O63" s="284"/>
      <c r="P63" s="120"/>
    </row>
    <row r="64" spans="1:18" ht="19.5" x14ac:dyDescent="0.2">
      <c r="A64" s="417">
        <v>6</v>
      </c>
      <c r="B64" s="417">
        <v>867006</v>
      </c>
      <c r="C64" s="417" t="s">
        <v>232</v>
      </c>
      <c r="D64" s="411">
        <v>2</v>
      </c>
      <c r="E64" s="474"/>
      <c r="F64" s="472"/>
      <c r="G64" s="472"/>
      <c r="H64" s="75"/>
      <c r="I64" s="474"/>
      <c r="J64" s="474"/>
      <c r="K64" s="411">
        <v>1</v>
      </c>
      <c r="L64" s="411">
        <v>60</v>
      </c>
      <c r="M64" s="75">
        <v>10145</v>
      </c>
      <c r="N64" s="75" t="s">
        <v>346</v>
      </c>
      <c r="O64" s="280" t="s">
        <v>147</v>
      </c>
      <c r="P64" s="117">
        <v>30</v>
      </c>
    </row>
    <row r="65" spans="1:16" ht="19.5" x14ac:dyDescent="0.2">
      <c r="A65" s="418"/>
      <c r="B65" s="419"/>
      <c r="C65" s="419"/>
      <c r="D65" s="412"/>
      <c r="E65" s="475"/>
      <c r="F65" s="473"/>
      <c r="G65" s="473"/>
      <c r="H65" s="76"/>
      <c r="I65" s="475"/>
      <c r="J65" s="475"/>
      <c r="K65" s="412"/>
      <c r="L65" s="412"/>
      <c r="M65" s="76"/>
      <c r="N65" s="76"/>
      <c r="O65" s="284"/>
      <c r="P65" s="120"/>
    </row>
    <row r="66" spans="1:16" ht="39" x14ac:dyDescent="0.2">
      <c r="A66" s="417">
        <v>7</v>
      </c>
      <c r="B66" s="417">
        <v>867006</v>
      </c>
      <c r="C66" s="417" t="s">
        <v>232</v>
      </c>
      <c r="D66" s="411">
        <v>2</v>
      </c>
      <c r="E66" s="474"/>
      <c r="F66" s="472"/>
      <c r="G66" s="472"/>
      <c r="H66" s="75"/>
      <c r="I66" s="474"/>
      <c r="J66" s="474"/>
      <c r="K66" s="411">
        <v>1</v>
      </c>
      <c r="L66" s="411">
        <v>60</v>
      </c>
      <c r="M66" s="75">
        <v>10134</v>
      </c>
      <c r="N66" s="75" t="s">
        <v>359</v>
      </c>
      <c r="O66" s="280" t="s">
        <v>203</v>
      </c>
      <c r="P66" s="117">
        <v>30</v>
      </c>
    </row>
    <row r="67" spans="1:16" ht="19.5" x14ac:dyDescent="0.2">
      <c r="A67" s="418"/>
      <c r="B67" s="419"/>
      <c r="C67" s="419"/>
      <c r="D67" s="412"/>
      <c r="E67" s="475"/>
      <c r="F67" s="473"/>
      <c r="G67" s="473"/>
      <c r="H67" s="76"/>
      <c r="I67" s="475"/>
      <c r="J67" s="475"/>
      <c r="K67" s="412"/>
      <c r="L67" s="412"/>
      <c r="M67" s="76"/>
      <c r="N67" s="76"/>
      <c r="O67" s="284"/>
      <c r="P67" s="120"/>
    </row>
    <row r="68" spans="1:16" ht="39" x14ac:dyDescent="0.2">
      <c r="A68" s="417">
        <v>8</v>
      </c>
      <c r="B68" s="417">
        <v>867006</v>
      </c>
      <c r="C68" s="417" t="s">
        <v>232</v>
      </c>
      <c r="D68" s="411">
        <v>2</v>
      </c>
      <c r="E68" s="474"/>
      <c r="F68" s="472"/>
      <c r="G68" s="472"/>
      <c r="H68" s="75"/>
      <c r="I68" s="474"/>
      <c r="J68" s="474"/>
      <c r="K68" s="411">
        <v>1</v>
      </c>
      <c r="L68" s="411">
        <v>60</v>
      </c>
      <c r="M68" s="75">
        <v>10134</v>
      </c>
      <c r="N68" s="75" t="s">
        <v>359</v>
      </c>
      <c r="O68" s="280" t="s">
        <v>203</v>
      </c>
      <c r="P68" s="117">
        <v>30</v>
      </c>
    </row>
    <row r="69" spans="1:16" ht="19.5" x14ac:dyDescent="0.2">
      <c r="A69" s="418"/>
      <c r="B69" s="419"/>
      <c r="C69" s="419"/>
      <c r="D69" s="412"/>
      <c r="E69" s="475"/>
      <c r="F69" s="473"/>
      <c r="G69" s="473"/>
      <c r="H69" s="76"/>
      <c r="I69" s="475"/>
      <c r="J69" s="475"/>
      <c r="K69" s="412"/>
      <c r="L69" s="412"/>
      <c r="M69" s="76"/>
      <c r="N69" s="76"/>
      <c r="O69" s="284"/>
      <c r="P69" s="120"/>
    </row>
    <row r="70" spans="1:16" ht="39" x14ac:dyDescent="0.2">
      <c r="A70" s="417">
        <v>9</v>
      </c>
      <c r="B70" s="417">
        <v>867006</v>
      </c>
      <c r="C70" s="417" t="s">
        <v>232</v>
      </c>
      <c r="D70" s="411">
        <v>2</v>
      </c>
      <c r="E70" s="474"/>
      <c r="F70" s="472"/>
      <c r="G70" s="472"/>
      <c r="H70" s="75"/>
      <c r="I70" s="474"/>
      <c r="J70" s="474"/>
      <c r="K70" s="411">
        <v>1</v>
      </c>
      <c r="L70" s="411">
        <v>60</v>
      </c>
      <c r="M70" s="75">
        <v>10134</v>
      </c>
      <c r="N70" s="75" t="s">
        <v>359</v>
      </c>
      <c r="O70" s="280" t="s">
        <v>203</v>
      </c>
      <c r="P70" s="117">
        <v>30</v>
      </c>
    </row>
    <row r="71" spans="1:16" ht="19.5" x14ac:dyDescent="0.2">
      <c r="A71" s="418"/>
      <c r="B71" s="419"/>
      <c r="C71" s="419"/>
      <c r="D71" s="412"/>
      <c r="E71" s="475"/>
      <c r="F71" s="473"/>
      <c r="G71" s="473"/>
      <c r="H71" s="76"/>
      <c r="I71" s="475"/>
      <c r="J71" s="475"/>
      <c r="K71" s="412"/>
      <c r="L71" s="412"/>
      <c r="M71" s="76"/>
      <c r="N71" s="76"/>
      <c r="O71" s="284"/>
      <c r="P71" s="120"/>
    </row>
    <row r="72" spans="1:16" ht="20.25" x14ac:dyDescent="0.2">
      <c r="A72" s="417">
        <v>10</v>
      </c>
      <c r="B72" s="417">
        <v>867006</v>
      </c>
      <c r="C72" s="417" t="s">
        <v>232</v>
      </c>
      <c r="D72" s="411">
        <v>2</v>
      </c>
      <c r="E72" s="474"/>
      <c r="F72" s="472"/>
      <c r="G72" s="472"/>
      <c r="H72" s="75"/>
      <c r="I72" s="474"/>
      <c r="J72" s="474"/>
      <c r="K72" s="411">
        <v>1</v>
      </c>
      <c r="L72" s="411">
        <v>60</v>
      </c>
      <c r="M72" s="75">
        <v>11072</v>
      </c>
      <c r="N72" s="75" t="s">
        <v>363</v>
      </c>
      <c r="O72" s="281" t="s">
        <v>183</v>
      </c>
      <c r="P72" s="117">
        <v>30</v>
      </c>
    </row>
    <row r="73" spans="1:16" ht="20.25" x14ac:dyDescent="0.2">
      <c r="A73" s="418"/>
      <c r="B73" s="419"/>
      <c r="C73" s="419"/>
      <c r="D73" s="412"/>
      <c r="E73" s="475"/>
      <c r="F73" s="473"/>
      <c r="G73" s="473"/>
      <c r="H73" s="76"/>
      <c r="I73" s="475"/>
      <c r="J73" s="475"/>
      <c r="K73" s="412"/>
      <c r="L73" s="412"/>
      <c r="M73" s="76"/>
      <c r="N73" s="76"/>
      <c r="O73" s="282"/>
      <c r="P73" s="120"/>
    </row>
    <row r="74" spans="1:16" ht="20.25" x14ac:dyDescent="0.2">
      <c r="A74" s="417">
        <v>11</v>
      </c>
      <c r="B74" s="417">
        <v>867006</v>
      </c>
      <c r="C74" s="417" t="s">
        <v>232</v>
      </c>
      <c r="D74" s="411">
        <v>2</v>
      </c>
      <c r="E74" s="474"/>
      <c r="F74" s="472"/>
      <c r="G74" s="472"/>
      <c r="H74" s="75"/>
      <c r="I74" s="474"/>
      <c r="J74" s="474"/>
      <c r="K74" s="411">
        <v>1</v>
      </c>
      <c r="L74" s="411">
        <v>60</v>
      </c>
      <c r="M74" s="75">
        <v>11072</v>
      </c>
      <c r="N74" s="75" t="s">
        <v>363</v>
      </c>
      <c r="O74" s="281" t="s">
        <v>183</v>
      </c>
      <c r="P74" s="117">
        <v>30</v>
      </c>
    </row>
    <row r="75" spans="1:16" ht="20.25" x14ac:dyDescent="0.2">
      <c r="A75" s="418"/>
      <c r="B75" s="419"/>
      <c r="C75" s="419"/>
      <c r="D75" s="412"/>
      <c r="E75" s="475"/>
      <c r="F75" s="473"/>
      <c r="G75" s="473"/>
      <c r="H75" s="76"/>
      <c r="I75" s="475"/>
      <c r="J75" s="475"/>
      <c r="K75" s="412"/>
      <c r="L75" s="412"/>
      <c r="M75" s="76"/>
      <c r="N75" s="76"/>
      <c r="O75" s="282"/>
      <c r="P75" s="120"/>
    </row>
    <row r="76" spans="1:16" ht="20.25" x14ac:dyDescent="0.2">
      <c r="A76" s="417">
        <v>12</v>
      </c>
      <c r="B76" s="417">
        <v>867006</v>
      </c>
      <c r="C76" s="417" t="s">
        <v>232</v>
      </c>
      <c r="D76" s="411">
        <v>2</v>
      </c>
      <c r="E76" s="474"/>
      <c r="F76" s="472"/>
      <c r="G76" s="472"/>
      <c r="H76" s="75"/>
      <c r="I76" s="474"/>
      <c r="J76" s="474"/>
      <c r="K76" s="411">
        <v>1</v>
      </c>
      <c r="L76" s="411">
        <v>60</v>
      </c>
      <c r="M76" s="75">
        <v>11072</v>
      </c>
      <c r="N76" s="75" t="s">
        <v>363</v>
      </c>
      <c r="O76" s="281" t="s">
        <v>183</v>
      </c>
      <c r="P76" s="117">
        <v>30</v>
      </c>
    </row>
    <row r="77" spans="1:16" ht="20.25" x14ac:dyDescent="0.2">
      <c r="A77" s="418"/>
      <c r="B77" s="419"/>
      <c r="C77" s="419"/>
      <c r="D77" s="412"/>
      <c r="E77" s="475"/>
      <c r="F77" s="473"/>
      <c r="G77" s="473"/>
      <c r="H77" s="76"/>
      <c r="I77" s="475"/>
      <c r="J77" s="475"/>
      <c r="K77" s="412"/>
      <c r="L77" s="412"/>
      <c r="M77" s="76"/>
      <c r="N77" s="76"/>
      <c r="O77" s="282"/>
      <c r="P77" s="120"/>
    </row>
    <row r="78" spans="1:16" ht="20.25" x14ac:dyDescent="0.2">
      <c r="A78" s="417">
        <v>13</v>
      </c>
      <c r="B78" s="417">
        <v>867006</v>
      </c>
      <c r="C78" s="417" t="s">
        <v>232</v>
      </c>
      <c r="D78" s="411">
        <v>2</v>
      </c>
      <c r="E78" s="474"/>
      <c r="F78" s="472"/>
      <c r="G78" s="472"/>
      <c r="H78" s="75"/>
      <c r="I78" s="474"/>
      <c r="J78" s="474"/>
      <c r="K78" s="411">
        <v>1</v>
      </c>
      <c r="L78" s="411">
        <v>60</v>
      </c>
      <c r="M78" s="75">
        <v>10145</v>
      </c>
      <c r="N78" s="75" t="s">
        <v>346</v>
      </c>
      <c r="O78" s="281" t="s">
        <v>147</v>
      </c>
      <c r="P78" s="117">
        <v>30</v>
      </c>
    </row>
    <row r="79" spans="1:16" ht="20.25" x14ac:dyDescent="0.2">
      <c r="A79" s="418"/>
      <c r="B79" s="419"/>
      <c r="C79" s="419"/>
      <c r="D79" s="412"/>
      <c r="E79" s="475"/>
      <c r="F79" s="473"/>
      <c r="G79" s="473"/>
      <c r="H79" s="76"/>
      <c r="I79" s="475"/>
      <c r="J79" s="475"/>
      <c r="K79" s="412"/>
      <c r="L79" s="412"/>
      <c r="M79" s="76"/>
      <c r="N79" s="76"/>
      <c r="O79" s="282"/>
      <c r="P79" s="120"/>
    </row>
    <row r="80" spans="1:16" ht="39" x14ac:dyDescent="0.2">
      <c r="A80" s="417">
        <v>1</v>
      </c>
      <c r="B80" s="417">
        <v>864005</v>
      </c>
      <c r="C80" s="417" t="s">
        <v>233</v>
      </c>
      <c r="D80" s="411">
        <v>3</v>
      </c>
      <c r="E80" s="474"/>
      <c r="F80" s="472"/>
      <c r="G80" s="472"/>
      <c r="H80" s="75"/>
      <c r="I80" s="474"/>
      <c r="J80" s="474"/>
      <c r="K80" s="411">
        <v>1</v>
      </c>
      <c r="L80" s="411">
        <v>60</v>
      </c>
      <c r="M80" s="75">
        <v>10873</v>
      </c>
      <c r="N80" s="75" t="s">
        <v>360</v>
      </c>
      <c r="O80" s="287" t="s">
        <v>189</v>
      </c>
      <c r="P80" s="117">
        <v>45</v>
      </c>
    </row>
    <row r="81" spans="1:18" ht="19.5" x14ac:dyDescent="0.2">
      <c r="A81" s="418"/>
      <c r="B81" s="419"/>
      <c r="C81" s="419"/>
      <c r="D81" s="412"/>
      <c r="E81" s="475"/>
      <c r="F81" s="473"/>
      <c r="G81" s="473"/>
      <c r="H81" s="76"/>
      <c r="I81" s="475"/>
      <c r="J81" s="475"/>
      <c r="K81" s="412"/>
      <c r="L81" s="412"/>
      <c r="M81" s="76"/>
      <c r="N81" s="76"/>
      <c r="O81" s="185"/>
      <c r="P81" s="120"/>
    </row>
    <row r="82" spans="1:18" ht="20.25" x14ac:dyDescent="0.2">
      <c r="A82" s="417">
        <v>1</v>
      </c>
      <c r="B82" s="417">
        <v>864006</v>
      </c>
      <c r="C82" s="417" t="s">
        <v>234</v>
      </c>
      <c r="D82" s="411">
        <v>3</v>
      </c>
      <c r="E82" s="474"/>
      <c r="F82" s="472"/>
      <c r="G82" s="472"/>
      <c r="H82" s="75"/>
      <c r="I82" s="474"/>
      <c r="J82" s="474"/>
      <c r="K82" s="411">
        <v>1</v>
      </c>
      <c r="L82" s="411">
        <v>60</v>
      </c>
      <c r="M82" s="75">
        <v>10898</v>
      </c>
      <c r="N82" s="75" t="s">
        <v>346</v>
      </c>
      <c r="O82" s="281" t="s">
        <v>188</v>
      </c>
      <c r="P82" s="117">
        <v>45</v>
      </c>
    </row>
    <row r="83" spans="1:18" ht="20.25" x14ac:dyDescent="0.2">
      <c r="A83" s="418"/>
      <c r="B83" s="419"/>
      <c r="C83" s="419"/>
      <c r="D83" s="412"/>
      <c r="E83" s="475"/>
      <c r="F83" s="473"/>
      <c r="G83" s="473"/>
      <c r="H83" s="76"/>
      <c r="I83" s="475"/>
      <c r="J83" s="475"/>
      <c r="K83" s="412"/>
      <c r="L83" s="412"/>
      <c r="M83" s="76"/>
      <c r="N83" s="76"/>
      <c r="O83" s="282"/>
      <c r="P83" s="120"/>
    </row>
    <row r="84" spans="1:18" ht="20.25" x14ac:dyDescent="0.2">
      <c r="A84" s="417">
        <v>2</v>
      </c>
      <c r="B84" s="417">
        <v>864006</v>
      </c>
      <c r="C84" s="417" t="s">
        <v>234</v>
      </c>
      <c r="D84" s="411">
        <v>3</v>
      </c>
      <c r="E84" s="474"/>
      <c r="F84" s="472"/>
      <c r="G84" s="472"/>
      <c r="H84" s="75"/>
      <c r="I84" s="474"/>
      <c r="J84" s="474"/>
      <c r="K84" s="411">
        <v>1</v>
      </c>
      <c r="L84" s="411">
        <v>60</v>
      </c>
      <c r="M84" s="75">
        <v>10934</v>
      </c>
      <c r="N84" s="75" t="s">
        <v>346</v>
      </c>
      <c r="O84" s="281" t="s">
        <v>192</v>
      </c>
      <c r="P84" s="117">
        <v>45</v>
      </c>
    </row>
    <row r="85" spans="1:18" ht="20.25" x14ac:dyDescent="0.2">
      <c r="A85" s="418"/>
      <c r="B85" s="419"/>
      <c r="C85" s="419"/>
      <c r="D85" s="412"/>
      <c r="E85" s="475"/>
      <c r="F85" s="473"/>
      <c r="G85" s="473"/>
      <c r="H85" s="76"/>
      <c r="I85" s="475"/>
      <c r="J85" s="475"/>
      <c r="K85" s="412"/>
      <c r="L85" s="412"/>
      <c r="M85" s="76"/>
      <c r="N85" s="76"/>
      <c r="O85" s="282"/>
      <c r="P85" s="120"/>
    </row>
    <row r="86" spans="1:18" ht="19.5" x14ac:dyDescent="0.2">
      <c r="A86" s="417">
        <v>3</v>
      </c>
      <c r="B86" s="417">
        <v>864006</v>
      </c>
      <c r="C86" s="417" t="s">
        <v>234</v>
      </c>
      <c r="D86" s="411">
        <v>3</v>
      </c>
      <c r="E86" s="474"/>
      <c r="F86" s="472"/>
      <c r="G86" s="472"/>
      <c r="H86" s="75"/>
      <c r="I86" s="474"/>
      <c r="J86" s="474"/>
      <c r="K86" s="411">
        <v>1</v>
      </c>
      <c r="L86" s="411">
        <v>60</v>
      </c>
      <c r="M86" s="75">
        <v>11107</v>
      </c>
      <c r="N86" s="75" t="s">
        <v>359</v>
      </c>
      <c r="O86" s="75" t="s">
        <v>177</v>
      </c>
      <c r="P86" s="117">
        <v>45</v>
      </c>
    </row>
    <row r="87" spans="1:18" ht="20.25" x14ac:dyDescent="0.2">
      <c r="A87" s="418"/>
      <c r="B87" s="419"/>
      <c r="C87" s="419"/>
      <c r="D87" s="412"/>
      <c r="E87" s="475"/>
      <c r="F87" s="473"/>
      <c r="G87" s="473"/>
      <c r="H87" s="76"/>
      <c r="I87" s="475"/>
      <c r="J87" s="475"/>
      <c r="K87" s="412"/>
      <c r="L87" s="412"/>
      <c r="M87" s="76"/>
      <c r="N87" s="76"/>
      <c r="O87" s="282"/>
      <c r="P87" s="120"/>
    </row>
    <row r="88" spans="1:18" ht="20.25" x14ac:dyDescent="0.2">
      <c r="A88" s="507">
        <v>1</v>
      </c>
      <c r="B88" s="507">
        <v>864007</v>
      </c>
      <c r="C88" s="507" t="s">
        <v>132</v>
      </c>
      <c r="D88" s="476">
        <v>3</v>
      </c>
      <c r="E88" s="476"/>
      <c r="F88" s="507"/>
      <c r="G88" s="507"/>
      <c r="H88" s="238"/>
      <c r="I88" s="476"/>
      <c r="J88" s="476"/>
      <c r="K88" s="476">
        <v>1</v>
      </c>
      <c r="L88" s="476">
        <v>60</v>
      </c>
      <c r="M88" s="238">
        <v>11372</v>
      </c>
      <c r="N88" s="238" t="s">
        <v>363</v>
      </c>
      <c r="O88" s="286" t="s">
        <v>176</v>
      </c>
      <c r="P88" s="117">
        <v>45</v>
      </c>
      <c r="R88" s="511" t="s">
        <v>327</v>
      </c>
    </row>
    <row r="89" spans="1:18" ht="27" customHeight="1" x14ac:dyDescent="0.2">
      <c r="A89" s="523"/>
      <c r="B89" s="508"/>
      <c r="C89" s="508"/>
      <c r="D89" s="477"/>
      <c r="E89" s="477"/>
      <c r="F89" s="508"/>
      <c r="G89" s="508"/>
      <c r="H89" s="241"/>
      <c r="I89" s="477"/>
      <c r="J89" s="477"/>
      <c r="K89" s="477"/>
      <c r="L89" s="477"/>
      <c r="M89" s="241"/>
      <c r="N89" s="241"/>
      <c r="O89" s="242"/>
      <c r="P89" s="243"/>
      <c r="R89" s="511"/>
    </row>
    <row r="90" spans="1:18" ht="20.25" x14ac:dyDescent="0.2">
      <c r="A90" s="417">
        <v>1</v>
      </c>
      <c r="B90" s="417">
        <v>867007</v>
      </c>
      <c r="C90" s="417" t="s">
        <v>235</v>
      </c>
      <c r="D90" s="411">
        <v>3</v>
      </c>
      <c r="E90" s="474"/>
      <c r="F90" s="472"/>
      <c r="G90" s="472"/>
      <c r="H90" s="75"/>
      <c r="I90" s="474"/>
      <c r="J90" s="474"/>
      <c r="K90" s="411">
        <v>1</v>
      </c>
      <c r="L90" s="411">
        <v>60</v>
      </c>
      <c r="M90" s="75">
        <v>10932</v>
      </c>
      <c r="N90" s="75" t="s">
        <v>346</v>
      </c>
      <c r="O90" s="281" t="s">
        <v>146</v>
      </c>
      <c r="P90" s="117">
        <v>45</v>
      </c>
    </row>
    <row r="91" spans="1:18" ht="27" customHeight="1" x14ac:dyDescent="0.2">
      <c r="A91" s="418"/>
      <c r="B91" s="419"/>
      <c r="C91" s="419"/>
      <c r="D91" s="412"/>
      <c r="E91" s="475"/>
      <c r="F91" s="473"/>
      <c r="G91" s="473"/>
      <c r="H91" s="76"/>
      <c r="I91" s="475"/>
      <c r="J91" s="475"/>
      <c r="K91" s="412"/>
      <c r="L91" s="412"/>
      <c r="M91" s="76"/>
      <c r="N91" s="76"/>
      <c r="O91" s="282"/>
      <c r="P91" s="120"/>
    </row>
    <row r="92" spans="1:18" ht="19.5" x14ac:dyDescent="0.2">
      <c r="A92" s="507">
        <v>1</v>
      </c>
      <c r="B92" s="507">
        <v>867008</v>
      </c>
      <c r="C92" s="507" t="s">
        <v>236</v>
      </c>
      <c r="D92" s="476">
        <v>2</v>
      </c>
      <c r="E92" s="476"/>
      <c r="F92" s="507"/>
      <c r="G92" s="507"/>
      <c r="H92" s="238"/>
      <c r="I92" s="476"/>
      <c r="J92" s="476"/>
      <c r="K92" s="476">
        <v>1</v>
      </c>
      <c r="L92" s="476">
        <v>60</v>
      </c>
      <c r="M92" s="238">
        <v>11051</v>
      </c>
      <c r="N92" s="238" t="s">
        <v>359</v>
      </c>
      <c r="O92" s="239" t="s">
        <v>178</v>
      </c>
      <c r="P92" s="240">
        <v>30</v>
      </c>
      <c r="R92" s="511" t="s">
        <v>327</v>
      </c>
    </row>
    <row r="93" spans="1:18" ht="21.75" customHeight="1" x14ac:dyDescent="0.2">
      <c r="A93" s="508"/>
      <c r="B93" s="508"/>
      <c r="C93" s="508"/>
      <c r="D93" s="477"/>
      <c r="E93" s="477"/>
      <c r="F93" s="508"/>
      <c r="G93" s="508"/>
      <c r="H93" s="241"/>
      <c r="I93" s="477"/>
      <c r="J93" s="477"/>
      <c r="K93" s="477"/>
      <c r="L93" s="477"/>
      <c r="M93" s="241"/>
      <c r="N93" s="241"/>
      <c r="O93" s="242"/>
      <c r="P93" s="243"/>
      <c r="R93" s="511"/>
    </row>
    <row r="94" spans="1:18" ht="19.5" x14ac:dyDescent="0.2">
      <c r="A94" s="507">
        <v>2</v>
      </c>
      <c r="B94" s="507">
        <v>867008</v>
      </c>
      <c r="C94" s="507" t="s">
        <v>236</v>
      </c>
      <c r="D94" s="476">
        <v>2</v>
      </c>
      <c r="E94" s="476"/>
      <c r="F94" s="507"/>
      <c r="G94" s="507"/>
      <c r="H94" s="238"/>
      <c r="I94" s="476"/>
      <c r="J94" s="476"/>
      <c r="K94" s="476">
        <v>1</v>
      </c>
      <c r="L94" s="476">
        <v>60</v>
      </c>
      <c r="M94" s="238">
        <v>11372</v>
      </c>
      <c r="N94" s="238" t="s">
        <v>363</v>
      </c>
      <c r="O94" s="239" t="s">
        <v>176</v>
      </c>
      <c r="P94" s="240">
        <v>30</v>
      </c>
      <c r="R94" s="511" t="s">
        <v>327</v>
      </c>
    </row>
    <row r="95" spans="1:18" ht="21.75" customHeight="1" x14ac:dyDescent="0.2">
      <c r="A95" s="508"/>
      <c r="B95" s="508"/>
      <c r="C95" s="508"/>
      <c r="D95" s="477"/>
      <c r="E95" s="477"/>
      <c r="F95" s="508"/>
      <c r="G95" s="508"/>
      <c r="H95" s="241"/>
      <c r="I95" s="477"/>
      <c r="J95" s="477"/>
      <c r="K95" s="477"/>
      <c r="L95" s="477"/>
      <c r="M95" s="241"/>
      <c r="N95" s="241"/>
      <c r="O95" s="242"/>
      <c r="P95" s="243"/>
      <c r="R95" s="511"/>
    </row>
    <row r="96" spans="1:18" ht="19.5" x14ac:dyDescent="0.2">
      <c r="A96" s="507">
        <v>3</v>
      </c>
      <c r="B96" s="507">
        <v>867008</v>
      </c>
      <c r="C96" s="507" t="s">
        <v>236</v>
      </c>
      <c r="D96" s="476">
        <v>2</v>
      </c>
      <c r="E96" s="476"/>
      <c r="F96" s="507"/>
      <c r="G96" s="507"/>
      <c r="H96" s="238"/>
      <c r="I96" s="476"/>
      <c r="J96" s="476"/>
      <c r="K96" s="476">
        <v>1</v>
      </c>
      <c r="L96" s="476">
        <v>60</v>
      </c>
      <c r="M96" s="238">
        <v>11372</v>
      </c>
      <c r="N96" s="238" t="s">
        <v>363</v>
      </c>
      <c r="O96" s="239" t="s">
        <v>176</v>
      </c>
      <c r="P96" s="240">
        <v>30</v>
      </c>
      <c r="R96" s="511" t="s">
        <v>327</v>
      </c>
    </row>
    <row r="97" spans="1:18" ht="21.75" customHeight="1" x14ac:dyDescent="0.2">
      <c r="A97" s="508"/>
      <c r="B97" s="508"/>
      <c r="C97" s="508"/>
      <c r="D97" s="477"/>
      <c r="E97" s="477"/>
      <c r="F97" s="508"/>
      <c r="G97" s="508"/>
      <c r="H97" s="241"/>
      <c r="I97" s="477"/>
      <c r="J97" s="477"/>
      <c r="K97" s="477"/>
      <c r="L97" s="477"/>
      <c r="M97" s="241"/>
      <c r="N97" s="241"/>
      <c r="O97" s="242"/>
      <c r="P97" s="243"/>
      <c r="R97" s="511"/>
    </row>
    <row r="98" spans="1:18" ht="19.5" x14ac:dyDescent="0.2">
      <c r="A98" s="507">
        <v>4</v>
      </c>
      <c r="B98" s="507">
        <v>867008</v>
      </c>
      <c r="C98" s="507" t="s">
        <v>236</v>
      </c>
      <c r="D98" s="476">
        <v>2</v>
      </c>
      <c r="E98" s="476"/>
      <c r="F98" s="507"/>
      <c r="G98" s="507"/>
      <c r="H98" s="238"/>
      <c r="I98" s="476"/>
      <c r="J98" s="476"/>
      <c r="K98" s="476">
        <v>1</v>
      </c>
      <c r="L98" s="476">
        <v>60</v>
      </c>
      <c r="M98" s="238">
        <v>11051</v>
      </c>
      <c r="N98" s="238" t="s">
        <v>359</v>
      </c>
      <c r="O98" s="239" t="s">
        <v>178</v>
      </c>
      <c r="P98" s="240">
        <v>30</v>
      </c>
      <c r="R98" s="511" t="s">
        <v>327</v>
      </c>
    </row>
    <row r="99" spans="1:18" ht="19.5" x14ac:dyDescent="0.2">
      <c r="A99" s="508"/>
      <c r="B99" s="508"/>
      <c r="C99" s="508"/>
      <c r="D99" s="477"/>
      <c r="E99" s="477"/>
      <c r="F99" s="523"/>
      <c r="G99" s="523"/>
      <c r="H99" s="244"/>
      <c r="I99" s="502"/>
      <c r="J99" s="477"/>
      <c r="K99" s="477"/>
      <c r="L99" s="477"/>
      <c r="M99" s="244"/>
      <c r="N99" s="244"/>
      <c r="O99" s="242"/>
      <c r="P99" s="245"/>
      <c r="R99" s="511"/>
    </row>
    <row r="100" spans="1:18" ht="19.5" x14ac:dyDescent="0.2">
      <c r="A100" s="507">
        <v>5</v>
      </c>
      <c r="B100" s="507">
        <v>867008</v>
      </c>
      <c r="C100" s="507" t="s">
        <v>236</v>
      </c>
      <c r="D100" s="476">
        <v>2</v>
      </c>
      <c r="E100" s="476"/>
      <c r="F100" s="507"/>
      <c r="G100" s="507"/>
      <c r="H100" s="238"/>
      <c r="I100" s="476"/>
      <c r="J100" s="476"/>
      <c r="K100" s="476">
        <v>1</v>
      </c>
      <c r="L100" s="476">
        <v>60</v>
      </c>
      <c r="M100" s="238">
        <v>10986</v>
      </c>
      <c r="N100" s="238" t="s">
        <v>359</v>
      </c>
      <c r="O100" s="239" t="s">
        <v>180</v>
      </c>
      <c r="P100" s="240">
        <v>30</v>
      </c>
      <c r="R100" s="511" t="s">
        <v>327</v>
      </c>
    </row>
    <row r="101" spans="1:18" ht="19.5" x14ac:dyDescent="0.2">
      <c r="A101" s="508"/>
      <c r="B101" s="508"/>
      <c r="C101" s="508"/>
      <c r="D101" s="477"/>
      <c r="E101" s="477"/>
      <c r="F101" s="523"/>
      <c r="G101" s="523"/>
      <c r="H101" s="244"/>
      <c r="I101" s="502"/>
      <c r="J101" s="477"/>
      <c r="K101" s="477"/>
      <c r="L101" s="477"/>
      <c r="M101" s="244"/>
      <c r="N101" s="244"/>
      <c r="O101" s="244"/>
      <c r="P101" s="245"/>
      <c r="R101" s="511"/>
    </row>
    <row r="102" spans="1:18" ht="19.5" x14ac:dyDescent="0.2">
      <c r="A102" s="507">
        <v>6</v>
      </c>
      <c r="B102" s="507">
        <v>867008</v>
      </c>
      <c r="C102" s="507" t="s">
        <v>236</v>
      </c>
      <c r="D102" s="476">
        <v>2</v>
      </c>
      <c r="E102" s="476"/>
      <c r="F102" s="507"/>
      <c r="G102" s="507"/>
      <c r="H102" s="238"/>
      <c r="I102" s="476"/>
      <c r="J102" s="476"/>
      <c r="K102" s="476">
        <v>1</v>
      </c>
      <c r="L102" s="476">
        <v>60</v>
      </c>
      <c r="M102" s="238">
        <v>10986</v>
      </c>
      <c r="N102" s="238" t="s">
        <v>359</v>
      </c>
      <c r="O102" s="239" t="s">
        <v>180</v>
      </c>
      <c r="P102" s="240">
        <v>30</v>
      </c>
      <c r="R102" s="511" t="s">
        <v>327</v>
      </c>
    </row>
    <row r="103" spans="1:18" ht="19.5" x14ac:dyDescent="0.2">
      <c r="A103" s="508"/>
      <c r="B103" s="508"/>
      <c r="C103" s="508"/>
      <c r="D103" s="477"/>
      <c r="E103" s="477"/>
      <c r="F103" s="523"/>
      <c r="G103" s="523"/>
      <c r="H103" s="244"/>
      <c r="I103" s="502"/>
      <c r="J103" s="477"/>
      <c r="K103" s="477"/>
      <c r="L103" s="477"/>
      <c r="M103" s="244"/>
      <c r="N103" s="244"/>
      <c r="O103" s="244"/>
      <c r="P103" s="245"/>
      <c r="R103" s="511"/>
    </row>
    <row r="104" spans="1:18" ht="19.5" x14ac:dyDescent="0.2">
      <c r="A104" s="507">
        <v>7</v>
      </c>
      <c r="B104" s="507">
        <v>867008</v>
      </c>
      <c r="C104" s="507" t="s">
        <v>236</v>
      </c>
      <c r="D104" s="476">
        <v>2</v>
      </c>
      <c r="E104" s="476"/>
      <c r="F104" s="507"/>
      <c r="G104" s="507"/>
      <c r="H104" s="238"/>
      <c r="I104" s="476"/>
      <c r="J104" s="476"/>
      <c r="K104" s="476">
        <v>1</v>
      </c>
      <c r="L104" s="476">
        <v>60</v>
      </c>
      <c r="M104" s="238">
        <v>10932</v>
      </c>
      <c r="N104" s="238" t="s">
        <v>346</v>
      </c>
      <c r="O104" s="239" t="s">
        <v>146</v>
      </c>
      <c r="P104" s="240">
        <v>30</v>
      </c>
      <c r="R104" s="511" t="s">
        <v>327</v>
      </c>
    </row>
    <row r="105" spans="1:18" ht="19.5" x14ac:dyDescent="0.2">
      <c r="A105" s="508"/>
      <c r="B105" s="508"/>
      <c r="C105" s="508"/>
      <c r="D105" s="477"/>
      <c r="E105" s="477"/>
      <c r="F105" s="523"/>
      <c r="G105" s="523"/>
      <c r="H105" s="244"/>
      <c r="I105" s="502"/>
      <c r="J105" s="477"/>
      <c r="K105" s="477"/>
      <c r="L105" s="477"/>
      <c r="M105" s="244"/>
      <c r="N105" s="244"/>
      <c r="O105" s="244"/>
      <c r="P105" s="245"/>
      <c r="R105" s="511"/>
    </row>
    <row r="106" spans="1:18" ht="39" x14ac:dyDescent="0.2">
      <c r="A106" s="507">
        <v>8</v>
      </c>
      <c r="B106" s="507">
        <v>867008</v>
      </c>
      <c r="C106" s="507" t="s">
        <v>236</v>
      </c>
      <c r="D106" s="476">
        <v>2</v>
      </c>
      <c r="E106" s="476"/>
      <c r="F106" s="507"/>
      <c r="G106" s="507"/>
      <c r="H106" s="238"/>
      <c r="I106" s="476"/>
      <c r="J106" s="476"/>
      <c r="K106" s="476">
        <v>1</v>
      </c>
      <c r="L106" s="476">
        <v>60</v>
      </c>
      <c r="M106" s="238">
        <v>10134</v>
      </c>
      <c r="N106" s="238" t="s">
        <v>359</v>
      </c>
      <c r="O106" s="239" t="s">
        <v>203</v>
      </c>
      <c r="P106" s="240">
        <v>30</v>
      </c>
      <c r="R106" s="511" t="s">
        <v>327</v>
      </c>
    </row>
    <row r="107" spans="1:18" ht="19.5" x14ac:dyDescent="0.2">
      <c r="A107" s="508"/>
      <c r="B107" s="508"/>
      <c r="C107" s="508"/>
      <c r="D107" s="477"/>
      <c r="E107" s="477"/>
      <c r="F107" s="523"/>
      <c r="G107" s="523"/>
      <c r="H107" s="244"/>
      <c r="I107" s="502"/>
      <c r="J107" s="477"/>
      <c r="K107" s="477"/>
      <c r="L107" s="477"/>
      <c r="M107" s="244"/>
      <c r="N107" s="244"/>
      <c r="O107" s="244"/>
      <c r="P107" s="245"/>
      <c r="R107" s="511"/>
    </row>
    <row r="108" spans="1:18" ht="39" x14ac:dyDescent="0.2">
      <c r="A108" s="507">
        <v>9</v>
      </c>
      <c r="B108" s="507">
        <v>867008</v>
      </c>
      <c r="C108" s="507" t="s">
        <v>236</v>
      </c>
      <c r="D108" s="476">
        <v>2</v>
      </c>
      <c r="E108" s="476"/>
      <c r="F108" s="507"/>
      <c r="G108" s="507"/>
      <c r="H108" s="238"/>
      <c r="I108" s="476"/>
      <c r="J108" s="476"/>
      <c r="K108" s="476">
        <v>1</v>
      </c>
      <c r="L108" s="476">
        <v>60</v>
      </c>
      <c r="M108" s="238">
        <v>10134</v>
      </c>
      <c r="N108" s="238" t="s">
        <v>359</v>
      </c>
      <c r="O108" s="238" t="s">
        <v>203</v>
      </c>
      <c r="P108" s="240">
        <v>30</v>
      </c>
      <c r="R108" s="511" t="s">
        <v>327</v>
      </c>
    </row>
    <row r="109" spans="1:18" ht="19.5" x14ac:dyDescent="0.2">
      <c r="A109" s="508"/>
      <c r="B109" s="508"/>
      <c r="C109" s="508"/>
      <c r="D109" s="477"/>
      <c r="E109" s="477"/>
      <c r="F109" s="523"/>
      <c r="G109" s="523"/>
      <c r="H109" s="244"/>
      <c r="I109" s="502"/>
      <c r="J109" s="477"/>
      <c r="K109" s="477"/>
      <c r="L109" s="477"/>
      <c r="M109" s="244"/>
      <c r="N109" s="244"/>
      <c r="O109" s="244"/>
      <c r="P109" s="245"/>
      <c r="R109" s="511"/>
    </row>
    <row r="110" spans="1:18" ht="19.5" x14ac:dyDescent="0.2">
      <c r="A110" s="507">
        <v>10</v>
      </c>
      <c r="B110" s="507">
        <v>867008</v>
      </c>
      <c r="C110" s="507" t="s">
        <v>236</v>
      </c>
      <c r="D110" s="476">
        <v>2</v>
      </c>
      <c r="E110" s="476"/>
      <c r="F110" s="507"/>
      <c r="G110" s="507"/>
      <c r="H110" s="238"/>
      <c r="I110" s="476"/>
      <c r="J110" s="476"/>
      <c r="K110" s="476">
        <v>1</v>
      </c>
      <c r="L110" s="476">
        <v>60</v>
      </c>
      <c r="M110" s="238">
        <v>11051</v>
      </c>
      <c r="N110" s="238" t="s">
        <v>359</v>
      </c>
      <c r="O110" s="238" t="s">
        <v>178</v>
      </c>
      <c r="P110" s="240">
        <v>30</v>
      </c>
      <c r="R110" s="511" t="s">
        <v>327</v>
      </c>
    </row>
    <row r="111" spans="1:18" ht="19.5" x14ac:dyDescent="0.2">
      <c r="A111" s="508"/>
      <c r="B111" s="508"/>
      <c r="C111" s="508"/>
      <c r="D111" s="477"/>
      <c r="E111" s="477"/>
      <c r="F111" s="523"/>
      <c r="G111" s="523"/>
      <c r="H111" s="244"/>
      <c r="I111" s="502"/>
      <c r="J111" s="477"/>
      <c r="K111" s="477"/>
      <c r="L111" s="477"/>
      <c r="M111" s="244"/>
      <c r="N111" s="244"/>
      <c r="O111" s="244"/>
      <c r="P111" s="245"/>
      <c r="R111" s="511"/>
    </row>
    <row r="112" spans="1:18" ht="19.5" x14ac:dyDescent="0.2">
      <c r="A112" s="507">
        <v>11</v>
      </c>
      <c r="B112" s="507">
        <v>867008</v>
      </c>
      <c r="C112" s="507" t="s">
        <v>236</v>
      </c>
      <c r="D112" s="476">
        <v>2</v>
      </c>
      <c r="E112" s="476"/>
      <c r="F112" s="507"/>
      <c r="G112" s="507"/>
      <c r="H112" s="238"/>
      <c r="I112" s="476"/>
      <c r="J112" s="476"/>
      <c r="K112" s="476">
        <v>1</v>
      </c>
      <c r="L112" s="476">
        <v>60</v>
      </c>
      <c r="M112" s="238">
        <v>11051</v>
      </c>
      <c r="N112" s="238" t="s">
        <v>359</v>
      </c>
      <c r="O112" s="238" t="s">
        <v>178</v>
      </c>
      <c r="P112" s="240">
        <v>30</v>
      </c>
      <c r="R112" s="511" t="s">
        <v>327</v>
      </c>
    </row>
    <row r="113" spans="1:18" ht="19.5" x14ac:dyDescent="0.2">
      <c r="A113" s="508"/>
      <c r="B113" s="508"/>
      <c r="C113" s="508"/>
      <c r="D113" s="477"/>
      <c r="E113" s="477"/>
      <c r="F113" s="523"/>
      <c r="G113" s="523"/>
      <c r="H113" s="244"/>
      <c r="I113" s="502"/>
      <c r="J113" s="477"/>
      <c r="K113" s="477"/>
      <c r="L113" s="477"/>
      <c r="M113" s="241"/>
      <c r="N113" s="241"/>
      <c r="O113" s="241"/>
      <c r="P113" s="243"/>
      <c r="R113" s="511"/>
    </row>
    <row r="114" spans="1:18" ht="19.5" x14ac:dyDescent="0.2">
      <c r="A114" s="507">
        <v>12</v>
      </c>
      <c r="B114" s="507">
        <v>867008</v>
      </c>
      <c r="C114" s="507" t="s">
        <v>236</v>
      </c>
      <c r="D114" s="476">
        <v>2</v>
      </c>
      <c r="E114" s="476"/>
      <c r="F114" s="507"/>
      <c r="G114" s="507"/>
      <c r="H114" s="238"/>
      <c r="I114" s="476"/>
      <c r="J114" s="476"/>
      <c r="K114" s="476">
        <v>1</v>
      </c>
      <c r="L114" s="476">
        <v>60</v>
      </c>
      <c r="M114" s="238">
        <v>11051</v>
      </c>
      <c r="N114" s="238" t="s">
        <v>359</v>
      </c>
      <c r="O114" s="238" t="s">
        <v>178</v>
      </c>
      <c r="P114" s="240">
        <v>30</v>
      </c>
      <c r="R114" s="511" t="s">
        <v>327</v>
      </c>
    </row>
    <row r="115" spans="1:18" ht="19.5" x14ac:dyDescent="0.2">
      <c r="A115" s="508"/>
      <c r="B115" s="508"/>
      <c r="C115" s="508"/>
      <c r="D115" s="477"/>
      <c r="E115" s="477"/>
      <c r="F115" s="523"/>
      <c r="G115" s="523"/>
      <c r="H115" s="244"/>
      <c r="I115" s="502"/>
      <c r="J115" s="477"/>
      <c r="K115" s="477"/>
      <c r="L115" s="477"/>
      <c r="M115" s="244"/>
      <c r="N115" s="244"/>
      <c r="O115" s="244"/>
      <c r="P115" s="245"/>
      <c r="R115" s="511"/>
    </row>
    <row r="116" spans="1:18" ht="39" x14ac:dyDescent="0.2">
      <c r="A116" s="472">
        <v>1</v>
      </c>
      <c r="B116" s="472">
        <v>841405</v>
      </c>
      <c r="C116" s="472" t="s">
        <v>324</v>
      </c>
      <c r="D116" s="474">
        <v>3</v>
      </c>
      <c r="E116" s="474">
        <v>21</v>
      </c>
      <c r="F116" s="472">
        <v>45</v>
      </c>
      <c r="G116" s="472">
        <v>0</v>
      </c>
      <c r="H116" s="75"/>
      <c r="I116" s="474">
        <v>45</v>
      </c>
      <c r="J116" s="474">
        <v>1</v>
      </c>
      <c r="K116" s="474">
        <v>1</v>
      </c>
      <c r="L116" s="474">
        <v>75</v>
      </c>
      <c r="M116" s="75">
        <v>10936</v>
      </c>
      <c r="N116" s="75" t="s">
        <v>360</v>
      </c>
      <c r="O116" s="281" t="s">
        <v>219</v>
      </c>
      <c r="P116" s="117">
        <v>45</v>
      </c>
    </row>
    <row r="117" spans="1:18" ht="20.25" x14ac:dyDescent="0.2">
      <c r="A117" s="480"/>
      <c r="B117" s="480"/>
      <c r="C117" s="480"/>
      <c r="D117" s="478"/>
      <c r="E117" s="475"/>
      <c r="F117" s="480"/>
      <c r="G117" s="480"/>
      <c r="H117" s="118"/>
      <c r="I117" s="478"/>
      <c r="J117" s="475"/>
      <c r="K117" s="478"/>
      <c r="L117" s="478"/>
      <c r="M117" s="118"/>
      <c r="N117" s="118"/>
      <c r="O117" s="283"/>
      <c r="P117" s="119"/>
    </row>
    <row r="118" spans="1:18" ht="39" x14ac:dyDescent="0.2">
      <c r="A118" s="472">
        <v>2</v>
      </c>
      <c r="B118" s="472">
        <v>841405</v>
      </c>
      <c r="C118" s="472" t="s">
        <v>324</v>
      </c>
      <c r="D118" s="474">
        <v>3</v>
      </c>
      <c r="E118" s="474">
        <v>21</v>
      </c>
      <c r="F118" s="472">
        <v>45</v>
      </c>
      <c r="G118" s="472">
        <v>0</v>
      </c>
      <c r="H118" s="75"/>
      <c r="I118" s="474">
        <v>45</v>
      </c>
      <c r="J118" s="474">
        <v>1</v>
      </c>
      <c r="K118" s="474">
        <v>1</v>
      </c>
      <c r="L118" s="474">
        <v>75</v>
      </c>
      <c r="M118" s="75">
        <v>10936</v>
      </c>
      <c r="N118" s="75" t="s">
        <v>360</v>
      </c>
      <c r="O118" s="281" t="s">
        <v>219</v>
      </c>
      <c r="P118" s="117">
        <v>45</v>
      </c>
    </row>
    <row r="119" spans="1:18" ht="20.25" x14ac:dyDescent="0.2">
      <c r="A119" s="480"/>
      <c r="B119" s="480"/>
      <c r="C119" s="480"/>
      <c r="D119" s="478"/>
      <c r="E119" s="475"/>
      <c r="F119" s="480"/>
      <c r="G119" s="480"/>
      <c r="H119" s="118"/>
      <c r="I119" s="478"/>
      <c r="J119" s="475"/>
      <c r="K119" s="478"/>
      <c r="L119" s="478"/>
      <c r="M119" s="118"/>
      <c r="N119" s="118"/>
      <c r="O119" s="283"/>
      <c r="P119" s="119"/>
    </row>
    <row r="120" spans="1:18" ht="20.25" x14ac:dyDescent="0.2">
      <c r="A120" s="472">
        <v>3</v>
      </c>
      <c r="B120" s="472">
        <v>841405</v>
      </c>
      <c r="C120" s="472" t="s">
        <v>324</v>
      </c>
      <c r="D120" s="474">
        <v>3</v>
      </c>
      <c r="E120" s="474">
        <v>21</v>
      </c>
      <c r="F120" s="472">
        <v>45</v>
      </c>
      <c r="G120" s="472">
        <v>0</v>
      </c>
      <c r="H120" s="75"/>
      <c r="I120" s="474">
        <v>45</v>
      </c>
      <c r="J120" s="474">
        <v>1</v>
      </c>
      <c r="K120" s="474">
        <v>1</v>
      </c>
      <c r="L120" s="474">
        <v>75</v>
      </c>
      <c r="M120" s="75">
        <v>11381</v>
      </c>
      <c r="N120" s="75" t="s">
        <v>361</v>
      </c>
      <c r="O120" s="281" t="s">
        <v>195</v>
      </c>
      <c r="P120" s="117">
        <v>45</v>
      </c>
    </row>
    <row r="121" spans="1:18" ht="20.25" x14ac:dyDescent="0.2">
      <c r="A121" s="480"/>
      <c r="B121" s="480"/>
      <c r="C121" s="480"/>
      <c r="D121" s="478"/>
      <c r="E121" s="475"/>
      <c r="F121" s="480"/>
      <c r="G121" s="480"/>
      <c r="H121" s="118"/>
      <c r="I121" s="478"/>
      <c r="J121" s="475"/>
      <c r="K121" s="478"/>
      <c r="L121" s="478"/>
      <c r="M121" s="118"/>
      <c r="N121" s="118"/>
      <c r="O121" s="283"/>
      <c r="P121" s="119"/>
    </row>
    <row r="122" spans="1:18" ht="20.25" x14ac:dyDescent="0.2">
      <c r="A122" s="472">
        <v>4</v>
      </c>
      <c r="B122" s="472">
        <v>841405</v>
      </c>
      <c r="C122" s="472" t="s">
        <v>324</v>
      </c>
      <c r="D122" s="474">
        <v>3</v>
      </c>
      <c r="E122" s="474">
        <v>21</v>
      </c>
      <c r="F122" s="472">
        <v>45</v>
      </c>
      <c r="G122" s="472">
        <v>0</v>
      </c>
      <c r="H122" s="75"/>
      <c r="I122" s="474">
        <v>45</v>
      </c>
      <c r="J122" s="474">
        <v>1</v>
      </c>
      <c r="K122" s="474">
        <v>1</v>
      </c>
      <c r="L122" s="474">
        <v>75</v>
      </c>
      <c r="M122" s="75">
        <v>10932</v>
      </c>
      <c r="N122" s="75" t="s">
        <v>346</v>
      </c>
      <c r="O122" s="281" t="s">
        <v>146</v>
      </c>
      <c r="P122" s="117">
        <v>45</v>
      </c>
    </row>
    <row r="123" spans="1:18" ht="20.25" x14ac:dyDescent="0.2">
      <c r="A123" s="480"/>
      <c r="B123" s="480"/>
      <c r="C123" s="480"/>
      <c r="D123" s="478"/>
      <c r="E123" s="475"/>
      <c r="F123" s="480"/>
      <c r="G123" s="480"/>
      <c r="H123" s="118"/>
      <c r="I123" s="478"/>
      <c r="J123" s="475"/>
      <c r="K123" s="478"/>
      <c r="L123" s="478"/>
      <c r="M123" s="118"/>
      <c r="N123" s="118"/>
      <c r="O123" s="283"/>
      <c r="P123" s="119"/>
    </row>
    <row r="124" spans="1:18" ht="20.25" x14ac:dyDescent="0.2">
      <c r="A124" s="472">
        <v>5</v>
      </c>
      <c r="B124" s="472">
        <v>841405</v>
      </c>
      <c r="C124" s="472" t="s">
        <v>324</v>
      </c>
      <c r="D124" s="474">
        <v>3</v>
      </c>
      <c r="E124" s="474">
        <v>21</v>
      </c>
      <c r="F124" s="472">
        <v>45</v>
      </c>
      <c r="G124" s="472">
        <v>0</v>
      </c>
      <c r="H124" s="75"/>
      <c r="I124" s="474">
        <v>45</v>
      </c>
      <c r="J124" s="474">
        <v>1</v>
      </c>
      <c r="K124" s="474">
        <v>1</v>
      </c>
      <c r="L124" s="474">
        <v>75</v>
      </c>
      <c r="M124" s="75">
        <v>10932</v>
      </c>
      <c r="N124" s="75" t="s">
        <v>346</v>
      </c>
      <c r="O124" s="281" t="s">
        <v>146</v>
      </c>
      <c r="P124" s="117">
        <v>45</v>
      </c>
    </row>
    <row r="125" spans="1:18" ht="20.25" x14ac:dyDescent="0.2">
      <c r="A125" s="480"/>
      <c r="B125" s="480"/>
      <c r="C125" s="480"/>
      <c r="D125" s="478"/>
      <c r="E125" s="475"/>
      <c r="F125" s="480"/>
      <c r="G125" s="480"/>
      <c r="H125" s="118"/>
      <c r="I125" s="478"/>
      <c r="J125" s="475"/>
      <c r="K125" s="478"/>
      <c r="L125" s="478"/>
      <c r="M125" s="118"/>
      <c r="N125" s="118"/>
      <c r="O125" s="283"/>
      <c r="P125" s="119"/>
    </row>
    <row r="126" spans="1:18" ht="20.25" x14ac:dyDescent="0.2">
      <c r="A126" s="472">
        <v>6</v>
      </c>
      <c r="B126" s="472">
        <v>841405</v>
      </c>
      <c r="C126" s="472" t="s">
        <v>324</v>
      </c>
      <c r="D126" s="474">
        <v>3</v>
      </c>
      <c r="E126" s="474">
        <v>21</v>
      </c>
      <c r="F126" s="472">
        <v>45</v>
      </c>
      <c r="G126" s="472">
        <v>0</v>
      </c>
      <c r="H126" s="75"/>
      <c r="I126" s="474">
        <v>45</v>
      </c>
      <c r="J126" s="474">
        <v>1</v>
      </c>
      <c r="K126" s="474">
        <v>1</v>
      </c>
      <c r="L126" s="474">
        <v>75</v>
      </c>
      <c r="M126" s="75">
        <v>10898</v>
      </c>
      <c r="N126" s="75" t="s">
        <v>346</v>
      </c>
      <c r="O126" s="281" t="s">
        <v>188</v>
      </c>
      <c r="P126" s="117">
        <v>45</v>
      </c>
    </row>
    <row r="127" spans="1:18" ht="20.25" x14ac:dyDescent="0.2">
      <c r="A127" s="480"/>
      <c r="B127" s="480"/>
      <c r="C127" s="480"/>
      <c r="D127" s="478"/>
      <c r="E127" s="475"/>
      <c r="F127" s="480"/>
      <c r="G127" s="480"/>
      <c r="H127" s="118"/>
      <c r="I127" s="478"/>
      <c r="J127" s="475"/>
      <c r="K127" s="478"/>
      <c r="L127" s="478"/>
      <c r="M127" s="118"/>
      <c r="N127" s="118"/>
      <c r="O127" s="283"/>
      <c r="P127" s="119"/>
    </row>
    <row r="128" spans="1:18" ht="20.25" x14ac:dyDescent="0.2">
      <c r="A128" s="472">
        <v>7</v>
      </c>
      <c r="B128" s="472">
        <v>841405</v>
      </c>
      <c r="C128" s="472" t="s">
        <v>324</v>
      </c>
      <c r="D128" s="474">
        <v>3</v>
      </c>
      <c r="E128" s="474">
        <v>21</v>
      </c>
      <c r="F128" s="472">
        <v>45</v>
      </c>
      <c r="G128" s="472">
        <v>0</v>
      </c>
      <c r="H128" s="75"/>
      <c r="I128" s="474">
        <v>45</v>
      </c>
      <c r="J128" s="474">
        <v>1</v>
      </c>
      <c r="K128" s="474">
        <v>1</v>
      </c>
      <c r="L128" s="474">
        <v>75</v>
      </c>
      <c r="M128" s="75">
        <v>11051</v>
      </c>
      <c r="N128" s="75" t="s">
        <v>359</v>
      </c>
      <c r="O128" s="281" t="s">
        <v>178</v>
      </c>
      <c r="P128" s="117">
        <v>45</v>
      </c>
    </row>
    <row r="129" spans="1:17" ht="20.25" x14ac:dyDescent="0.2">
      <c r="A129" s="480"/>
      <c r="B129" s="480"/>
      <c r="C129" s="480"/>
      <c r="D129" s="478"/>
      <c r="E129" s="475"/>
      <c r="F129" s="480"/>
      <c r="G129" s="480"/>
      <c r="H129" s="118"/>
      <c r="I129" s="478"/>
      <c r="J129" s="475"/>
      <c r="K129" s="478"/>
      <c r="L129" s="478"/>
      <c r="M129" s="118"/>
      <c r="N129" s="118"/>
      <c r="O129" s="283"/>
      <c r="P129" s="119"/>
    </row>
    <row r="130" spans="1:17" ht="20.25" x14ac:dyDescent="0.2">
      <c r="A130" s="472">
        <v>8</v>
      </c>
      <c r="B130" s="472">
        <v>841405</v>
      </c>
      <c r="C130" s="472" t="s">
        <v>324</v>
      </c>
      <c r="D130" s="474">
        <v>3</v>
      </c>
      <c r="E130" s="474">
        <v>21</v>
      </c>
      <c r="F130" s="472">
        <v>45</v>
      </c>
      <c r="G130" s="472">
        <v>0</v>
      </c>
      <c r="H130" s="75"/>
      <c r="I130" s="474">
        <v>45</v>
      </c>
      <c r="J130" s="474">
        <v>1</v>
      </c>
      <c r="K130" s="474">
        <v>1</v>
      </c>
      <c r="L130" s="474">
        <v>75</v>
      </c>
      <c r="M130" s="75">
        <v>11051</v>
      </c>
      <c r="N130" s="75" t="s">
        <v>359</v>
      </c>
      <c r="O130" s="281" t="s">
        <v>178</v>
      </c>
      <c r="P130" s="117">
        <v>45</v>
      </c>
    </row>
    <row r="131" spans="1:17" ht="20.25" x14ac:dyDescent="0.2">
      <c r="A131" s="480"/>
      <c r="B131" s="480"/>
      <c r="C131" s="480"/>
      <c r="D131" s="478"/>
      <c r="E131" s="475"/>
      <c r="F131" s="480"/>
      <c r="G131" s="480"/>
      <c r="H131" s="118"/>
      <c r="I131" s="478"/>
      <c r="J131" s="475"/>
      <c r="K131" s="478"/>
      <c r="L131" s="478"/>
      <c r="M131" s="118"/>
      <c r="N131" s="118"/>
      <c r="O131" s="283"/>
      <c r="P131" s="119"/>
    </row>
    <row r="132" spans="1:17" ht="40.5" x14ac:dyDescent="0.2">
      <c r="A132" s="472">
        <v>1</v>
      </c>
      <c r="B132" s="472">
        <v>841406</v>
      </c>
      <c r="C132" s="472" t="s">
        <v>234</v>
      </c>
      <c r="D132" s="474">
        <v>3</v>
      </c>
      <c r="E132" s="474">
        <v>21</v>
      </c>
      <c r="F132" s="472">
        <v>45</v>
      </c>
      <c r="G132" s="472">
        <v>0</v>
      </c>
      <c r="H132" s="75"/>
      <c r="I132" s="474">
        <v>45</v>
      </c>
      <c r="J132" s="474">
        <v>1</v>
      </c>
      <c r="K132" s="474">
        <v>1</v>
      </c>
      <c r="L132" s="474">
        <v>75</v>
      </c>
      <c r="M132" s="75">
        <v>11006</v>
      </c>
      <c r="N132" s="75" t="s">
        <v>346</v>
      </c>
      <c r="O132" s="281" t="s">
        <v>186</v>
      </c>
      <c r="P132" s="117">
        <v>45</v>
      </c>
    </row>
    <row r="133" spans="1:17" ht="20.25" x14ac:dyDescent="0.2">
      <c r="A133" s="480"/>
      <c r="B133" s="480"/>
      <c r="C133" s="480"/>
      <c r="D133" s="478"/>
      <c r="E133" s="475"/>
      <c r="F133" s="480"/>
      <c r="G133" s="480"/>
      <c r="H133" s="118"/>
      <c r="I133" s="478"/>
      <c r="J133" s="475"/>
      <c r="K133" s="478"/>
      <c r="L133" s="478"/>
      <c r="M133" s="118"/>
      <c r="N133" s="118"/>
      <c r="O133" s="282"/>
      <c r="P133" s="119"/>
      <c r="Q133" s="39">
        <v>1</v>
      </c>
    </row>
    <row r="134" spans="1:17" ht="40.5" x14ac:dyDescent="0.2">
      <c r="A134" s="472">
        <v>2</v>
      </c>
      <c r="B134" s="472">
        <v>841406</v>
      </c>
      <c r="C134" s="472" t="s">
        <v>234</v>
      </c>
      <c r="D134" s="474">
        <v>3</v>
      </c>
      <c r="E134" s="474">
        <v>21</v>
      </c>
      <c r="F134" s="472">
        <v>45</v>
      </c>
      <c r="G134" s="472">
        <v>0</v>
      </c>
      <c r="H134" s="75"/>
      <c r="I134" s="474">
        <v>45</v>
      </c>
      <c r="J134" s="474">
        <v>1</v>
      </c>
      <c r="K134" s="474">
        <v>1</v>
      </c>
      <c r="L134" s="474">
        <v>75</v>
      </c>
      <c r="M134" s="75">
        <v>11006</v>
      </c>
      <c r="N134" s="75" t="s">
        <v>346</v>
      </c>
      <c r="O134" s="281" t="s">
        <v>186</v>
      </c>
      <c r="P134" s="117">
        <v>45</v>
      </c>
    </row>
    <row r="135" spans="1:17" ht="20.25" x14ac:dyDescent="0.2">
      <c r="A135" s="480"/>
      <c r="B135" s="480"/>
      <c r="C135" s="480"/>
      <c r="D135" s="478"/>
      <c r="E135" s="475"/>
      <c r="F135" s="480"/>
      <c r="G135" s="480"/>
      <c r="H135" s="118"/>
      <c r="I135" s="478"/>
      <c r="J135" s="475"/>
      <c r="K135" s="478"/>
      <c r="L135" s="478"/>
      <c r="M135" s="76"/>
      <c r="N135" s="76"/>
      <c r="O135" s="282"/>
      <c r="P135" s="119"/>
    </row>
    <row r="136" spans="1:17" ht="39" x14ac:dyDescent="0.2">
      <c r="A136" s="472">
        <v>3</v>
      </c>
      <c r="B136" s="472">
        <v>841406</v>
      </c>
      <c r="C136" s="472" t="s">
        <v>234</v>
      </c>
      <c r="D136" s="474">
        <v>3</v>
      </c>
      <c r="E136" s="474">
        <v>21</v>
      </c>
      <c r="F136" s="472">
        <v>45</v>
      </c>
      <c r="G136" s="472">
        <v>0</v>
      </c>
      <c r="H136" s="75"/>
      <c r="I136" s="474">
        <v>45</v>
      </c>
      <c r="J136" s="474">
        <v>1</v>
      </c>
      <c r="K136" s="474">
        <v>1</v>
      </c>
      <c r="L136" s="474">
        <v>75</v>
      </c>
      <c r="M136" s="75">
        <v>10873</v>
      </c>
      <c r="N136" s="75" t="s">
        <v>360</v>
      </c>
      <c r="O136" s="281" t="s">
        <v>189</v>
      </c>
      <c r="P136" s="117">
        <v>45</v>
      </c>
    </row>
    <row r="137" spans="1:17" ht="20.25" x14ac:dyDescent="0.2">
      <c r="A137" s="480"/>
      <c r="B137" s="480"/>
      <c r="C137" s="480"/>
      <c r="D137" s="478"/>
      <c r="E137" s="475"/>
      <c r="F137" s="480"/>
      <c r="G137" s="480"/>
      <c r="H137" s="118"/>
      <c r="I137" s="478"/>
      <c r="J137" s="475"/>
      <c r="K137" s="478"/>
      <c r="L137" s="478"/>
      <c r="M137" s="118"/>
      <c r="N137" s="118"/>
      <c r="O137" s="282"/>
      <c r="P137" s="119"/>
    </row>
    <row r="138" spans="1:17" ht="39" x14ac:dyDescent="0.2">
      <c r="A138" s="472">
        <v>4</v>
      </c>
      <c r="B138" s="472">
        <v>841406</v>
      </c>
      <c r="C138" s="472" t="s">
        <v>234</v>
      </c>
      <c r="D138" s="474">
        <v>3</v>
      </c>
      <c r="E138" s="474">
        <v>21</v>
      </c>
      <c r="F138" s="472">
        <v>45</v>
      </c>
      <c r="G138" s="472">
        <v>0</v>
      </c>
      <c r="H138" s="75"/>
      <c r="I138" s="474">
        <v>45</v>
      </c>
      <c r="J138" s="474">
        <v>1</v>
      </c>
      <c r="K138" s="474">
        <v>1</v>
      </c>
      <c r="L138" s="474">
        <v>75</v>
      </c>
      <c r="M138" s="75">
        <v>10873</v>
      </c>
      <c r="N138" s="75" t="s">
        <v>360</v>
      </c>
      <c r="O138" s="281" t="s">
        <v>189</v>
      </c>
      <c r="P138" s="117">
        <v>45</v>
      </c>
    </row>
    <row r="139" spans="1:17" ht="20.25" x14ac:dyDescent="0.2">
      <c r="A139" s="480"/>
      <c r="B139" s="480"/>
      <c r="C139" s="480"/>
      <c r="D139" s="478"/>
      <c r="E139" s="475"/>
      <c r="F139" s="480"/>
      <c r="G139" s="480"/>
      <c r="H139" s="118"/>
      <c r="I139" s="478"/>
      <c r="J139" s="475"/>
      <c r="K139" s="478"/>
      <c r="L139" s="478"/>
      <c r="M139" s="118"/>
      <c r="N139" s="118"/>
      <c r="O139" s="283"/>
      <c r="P139" s="119"/>
    </row>
    <row r="140" spans="1:17" ht="39" x14ac:dyDescent="0.2">
      <c r="A140" s="472">
        <v>5</v>
      </c>
      <c r="B140" s="472">
        <v>841406</v>
      </c>
      <c r="C140" s="472" t="s">
        <v>234</v>
      </c>
      <c r="D140" s="474">
        <v>3</v>
      </c>
      <c r="E140" s="474">
        <v>21</v>
      </c>
      <c r="F140" s="472">
        <v>45</v>
      </c>
      <c r="G140" s="472">
        <v>0</v>
      </c>
      <c r="H140" s="75"/>
      <c r="I140" s="474">
        <v>45</v>
      </c>
      <c r="J140" s="474">
        <v>1</v>
      </c>
      <c r="K140" s="474">
        <v>1</v>
      </c>
      <c r="L140" s="474">
        <v>75</v>
      </c>
      <c r="M140" s="75">
        <v>10873</v>
      </c>
      <c r="N140" s="75" t="s">
        <v>360</v>
      </c>
      <c r="O140" s="281" t="s">
        <v>189</v>
      </c>
      <c r="P140" s="117">
        <v>45</v>
      </c>
    </row>
    <row r="141" spans="1:17" ht="19.5" x14ac:dyDescent="0.2">
      <c r="A141" s="480"/>
      <c r="B141" s="480"/>
      <c r="C141" s="480"/>
      <c r="D141" s="478"/>
      <c r="E141" s="475"/>
      <c r="F141" s="480"/>
      <c r="G141" s="480"/>
      <c r="H141" s="118"/>
      <c r="I141" s="478"/>
      <c r="J141" s="475"/>
      <c r="K141" s="478"/>
      <c r="L141" s="478"/>
      <c r="M141" s="118"/>
      <c r="N141" s="118"/>
      <c r="O141" s="118"/>
      <c r="P141" s="119"/>
      <c r="Q141" s="39">
        <v>1</v>
      </c>
    </row>
    <row r="142" spans="1:17" ht="19.5" x14ac:dyDescent="0.2">
      <c r="A142" s="472">
        <v>6</v>
      </c>
      <c r="B142" s="472">
        <v>841406</v>
      </c>
      <c r="C142" s="472" t="s">
        <v>234</v>
      </c>
      <c r="D142" s="474">
        <v>3</v>
      </c>
      <c r="E142" s="474">
        <v>21</v>
      </c>
      <c r="F142" s="472">
        <v>45</v>
      </c>
      <c r="G142" s="472">
        <v>0</v>
      </c>
      <c r="H142" s="75"/>
      <c r="I142" s="474">
        <v>45</v>
      </c>
      <c r="J142" s="474">
        <v>1</v>
      </c>
      <c r="K142" s="474">
        <v>1</v>
      </c>
      <c r="L142" s="474">
        <v>75</v>
      </c>
      <c r="M142" s="75">
        <v>11053</v>
      </c>
      <c r="N142" s="75" t="s">
        <v>346</v>
      </c>
      <c r="O142" s="280" t="s">
        <v>209</v>
      </c>
      <c r="P142" s="117">
        <v>45</v>
      </c>
    </row>
    <row r="143" spans="1:17" ht="20.25" x14ac:dyDescent="0.2">
      <c r="A143" s="480"/>
      <c r="B143" s="480"/>
      <c r="C143" s="480"/>
      <c r="D143" s="478"/>
      <c r="E143" s="475"/>
      <c r="F143" s="480"/>
      <c r="G143" s="480"/>
      <c r="H143" s="118"/>
      <c r="I143" s="478"/>
      <c r="J143" s="475"/>
      <c r="K143" s="478"/>
      <c r="L143" s="478"/>
      <c r="M143" s="76"/>
      <c r="N143" s="76"/>
      <c r="O143" s="283"/>
      <c r="P143" s="119"/>
    </row>
    <row r="144" spans="1:17" ht="19.5" x14ac:dyDescent="0.2">
      <c r="A144" s="472">
        <v>7</v>
      </c>
      <c r="B144" s="472">
        <v>841406</v>
      </c>
      <c r="C144" s="472" t="s">
        <v>234</v>
      </c>
      <c r="D144" s="474">
        <v>3</v>
      </c>
      <c r="E144" s="474">
        <v>21</v>
      </c>
      <c r="F144" s="472">
        <v>45</v>
      </c>
      <c r="G144" s="472">
        <v>0</v>
      </c>
      <c r="H144" s="75"/>
      <c r="I144" s="474">
        <v>45</v>
      </c>
      <c r="J144" s="474">
        <v>1</v>
      </c>
      <c r="K144" s="474">
        <v>1</v>
      </c>
      <c r="L144" s="474">
        <v>75</v>
      </c>
      <c r="M144" s="75">
        <v>11053</v>
      </c>
      <c r="N144" s="75" t="s">
        <v>346</v>
      </c>
      <c r="O144" s="280" t="s">
        <v>209</v>
      </c>
      <c r="P144" s="117">
        <v>45</v>
      </c>
    </row>
    <row r="145" spans="1:17" ht="20.25" x14ac:dyDescent="0.2">
      <c r="A145" s="480"/>
      <c r="B145" s="480"/>
      <c r="C145" s="480"/>
      <c r="D145" s="478"/>
      <c r="E145" s="475"/>
      <c r="F145" s="480"/>
      <c r="G145" s="480"/>
      <c r="H145" s="118"/>
      <c r="I145" s="478"/>
      <c r="J145" s="475"/>
      <c r="K145" s="478"/>
      <c r="L145" s="478"/>
      <c r="M145" s="118"/>
      <c r="N145" s="118"/>
      <c r="O145" s="283"/>
      <c r="P145" s="119"/>
    </row>
    <row r="146" spans="1:17" ht="20.25" x14ac:dyDescent="0.2">
      <c r="A146" s="472">
        <v>8</v>
      </c>
      <c r="B146" s="472">
        <v>841406</v>
      </c>
      <c r="C146" s="472" t="s">
        <v>234</v>
      </c>
      <c r="D146" s="474">
        <v>3</v>
      </c>
      <c r="E146" s="474">
        <v>21</v>
      </c>
      <c r="F146" s="472">
        <v>45</v>
      </c>
      <c r="G146" s="472">
        <v>0</v>
      </c>
      <c r="H146" s="75"/>
      <c r="I146" s="474">
        <v>45</v>
      </c>
      <c r="J146" s="474">
        <v>1</v>
      </c>
      <c r="K146" s="474">
        <v>1</v>
      </c>
      <c r="L146" s="474">
        <v>75</v>
      </c>
      <c r="M146" s="75">
        <v>11489</v>
      </c>
      <c r="N146" s="75" t="s">
        <v>359</v>
      </c>
      <c r="O146" s="281" t="s">
        <v>241</v>
      </c>
      <c r="P146" s="117">
        <v>45</v>
      </c>
    </row>
    <row r="147" spans="1:17" ht="20.25" x14ac:dyDescent="0.2">
      <c r="A147" s="480"/>
      <c r="B147" s="480"/>
      <c r="C147" s="480"/>
      <c r="D147" s="478"/>
      <c r="E147" s="475"/>
      <c r="F147" s="480"/>
      <c r="G147" s="480"/>
      <c r="H147" s="118"/>
      <c r="I147" s="478"/>
      <c r="J147" s="475"/>
      <c r="K147" s="478"/>
      <c r="L147" s="478"/>
      <c r="M147" s="118"/>
      <c r="N147" s="118"/>
      <c r="O147" s="283"/>
      <c r="P147" s="119"/>
    </row>
    <row r="148" spans="1:17" ht="20.25" x14ac:dyDescent="0.2">
      <c r="A148" s="472">
        <v>1</v>
      </c>
      <c r="B148" s="472">
        <v>841405</v>
      </c>
      <c r="C148" s="472" t="s">
        <v>324</v>
      </c>
      <c r="D148" s="474">
        <v>3</v>
      </c>
      <c r="E148" s="474" t="s">
        <v>323</v>
      </c>
      <c r="F148" s="472">
        <v>45</v>
      </c>
      <c r="G148" s="472">
        <v>0</v>
      </c>
      <c r="H148" s="75"/>
      <c r="I148" s="474">
        <v>45</v>
      </c>
      <c r="J148" s="474">
        <v>1</v>
      </c>
      <c r="K148" s="474">
        <v>1</v>
      </c>
      <c r="L148" s="474">
        <v>35</v>
      </c>
      <c r="M148" s="75">
        <v>10904</v>
      </c>
      <c r="N148" s="75" t="s">
        <v>359</v>
      </c>
      <c r="O148" s="281" t="s">
        <v>190</v>
      </c>
      <c r="P148" s="117">
        <v>45</v>
      </c>
    </row>
    <row r="149" spans="1:17" ht="20.25" x14ac:dyDescent="0.2">
      <c r="A149" s="480"/>
      <c r="B149" s="480"/>
      <c r="C149" s="480"/>
      <c r="D149" s="478"/>
      <c r="E149" s="475"/>
      <c r="F149" s="480"/>
      <c r="G149" s="480"/>
      <c r="H149" s="118"/>
      <c r="I149" s="478"/>
      <c r="J149" s="475"/>
      <c r="K149" s="478"/>
      <c r="L149" s="478"/>
      <c r="M149" s="118"/>
      <c r="N149" s="118"/>
      <c r="O149" s="283"/>
      <c r="P149" s="119"/>
      <c r="Q149" s="39">
        <v>1</v>
      </c>
    </row>
    <row r="150" spans="1:17" ht="20.25" x14ac:dyDescent="0.2">
      <c r="A150" s="472">
        <v>2</v>
      </c>
      <c r="B150" s="472">
        <v>841405</v>
      </c>
      <c r="C150" s="472" t="s">
        <v>324</v>
      </c>
      <c r="D150" s="474">
        <v>3</v>
      </c>
      <c r="E150" s="474" t="s">
        <v>323</v>
      </c>
      <c r="F150" s="472">
        <v>45</v>
      </c>
      <c r="G150" s="472">
        <v>0</v>
      </c>
      <c r="H150" s="75"/>
      <c r="I150" s="474">
        <v>45</v>
      </c>
      <c r="J150" s="474">
        <v>1</v>
      </c>
      <c r="K150" s="474">
        <v>1</v>
      </c>
      <c r="L150" s="474">
        <v>35</v>
      </c>
      <c r="M150" s="75">
        <v>10826</v>
      </c>
      <c r="N150" s="75" t="s">
        <v>361</v>
      </c>
      <c r="O150" s="281" t="s">
        <v>191</v>
      </c>
      <c r="P150" s="117">
        <v>30</v>
      </c>
    </row>
    <row r="151" spans="1:17" ht="20.25" x14ac:dyDescent="0.2">
      <c r="A151" s="480"/>
      <c r="B151" s="480"/>
      <c r="C151" s="480"/>
      <c r="D151" s="478"/>
      <c r="E151" s="475"/>
      <c r="F151" s="480"/>
      <c r="G151" s="480"/>
      <c r="H151" s="118"/>
      <c r="I151" s="478"/>
      <c r="J151" s="475"/>
      <c r="K151" s="478"/>
      <c r="L151" s="478"/>
      <c r="M151" s="76">
        <v>10934</v>
      </c>
      <c r="N151" s="76" t="s">
        <v>346</v>
      </c>
      <c r="O151" s="283" t="s">
        <v>192</v>
      </c>
      <c r="P151" s="119">
        <v>15</v>
      </c>
    </row>
    <row r="152" spans="1:17" ht="20.25" x14ac:dyDescent="0.2">
      <c r="A152" s="472">
        <v>3</v>
      </c>
      <c r="B152" s="472">
        <v>841405</v>
      </c>
      <c r="C152" s="472" t="s">
        <v>324</v>
      </c>
      <c r="D152" s="474">
        <v>3</v>
      </c>
      <c r="E152" s="474" t="s">
        <v>323</v>
      </c>
      <c r="F152" s="472">
        <v>45</v>
      </c>
      <c r="G152" s="472">
        <v>0</v>
      </c>
      <c r="H152" s="75"/>
      <c r="I152" s="474">
        <v>45</v>
      </c>
      <c r="J152" s="474">
        <v>1</v>
      </c>
      <c r="K152" s="474">
        <v>1</v>
      </c>
      <c r="L152" s="474">
        <v>35</v>
      </c>
      <c r="M152" s="75">
        <v>10826</v>
      </c>
      <c r="N152" s="75" t="s">
        <v>361</v>
      </c>
      <c r="O152" s="281" t="s">
        <v>191</v>
      </c>
      <c r="P152" s="117">
        <v>30</v>
      </c>
    </row>
    <row r="153" spans="1:17" ht="20.25" x14ac:dyDescent="0.2">
      <c r="A153" s="480"/>
      <c r="B153" s="480"/>
      <c r="C153" s="480"/>
      <c r="D153" s="478"/>
      <c r="E153" s="475"/>
      <c r="F153" s="480"/>
      <c r="G153" s="480"/>
      <c r="H153" s="118"/>
      <c r="I153" s="478"/>
      <c r="J153" s="475"/>
      <c r="K153" s="478"/>
      <c r="L153" s="478"/>
      <c r="M153" s="118">
        <v>10934</v>
      </c>
      <c r="N153" s="118" t="s">
        <v>346</v>
      </c>
      <c r="O153" s="283" t="s">
        <v>192</v>
      </c>
      <c r="P153" s="119">
        <v>15</v>
      </c>
    </row>
    <row r="154" spans="1:17" ht="20.25" x14ac:dyDescent="0.2">
      <c r="A154" s="472">
        <v>4</v>
      </c>
      <c r="B154" s="472">
        <v>841405</v>
      </c>
      <c r="C154" s="472" t="s">
        <v>324</v>
      </c>
      <c r="D154" s="474">
        <v>3</v>
      </c>
      <c r="E154" s="474" t="s">
        <v>323</v>
      </c>
      <c r="F154" s="472">
        <v>45</v>
      </c>
      <c r="G154" s="472">
        <v>0</v>
      </c>
      <c r="H154" s="75"/>
      <c r="I154" s="474">
        <v>45</v>
      </c>
      <c r="J154" s="474">
        <v>1</v>
      </c>
      <c r="K154" s="474">
        <v>1</v>
      </c>
      <c r="L154" s="474">
        <v>35</v>
      </c>
      <c r="M154" s="75">
        <v>11381</v>
      </c>
      <c r="N154" s="75" t="s">
        <v>361</v>
      </c>
      <c r="O154" s="281" t="s">
        <v>195</v>
      </c>
      <c r="P154" s="117">
        <v>45</v>
      </c>
    </row>
    <row r="155" spans="1:17" ht="20.25" x14ac:dyDescent="0.2">
      <c r="A155" s="480"/>
      <c r="B155" s="480"/>
      <c r="C155" s="480"/>
      <c r="D155" s="478"/>
      <c r="E155" s="475"/>
      <c r="F155" s="480"/>
      <c r="G155" s="480"/>
      <c r="H155" s="118"/>
      <c r="I155" s="478"/>
      <c r="J155" s="475"/>
      <c r="K155" s="478"/>
      <c r="L155" s="478"/>
      <c r="M155" s="118"/>
      <c r="N155" s="118"/>
      <c r="O155" s="283"/>
      <c r="P155" s="119"/>
    </row>
    <row r="156" spans="1:17" ht="20.25" x14ac:dyDescent="0.2">
      <c r="A156" s="472">
        <v>5</v>
      </c>
      <c r="B156" s="472">
        <v>841405</v>
      </c>
      <c r="C156" s="472" t="s">
        <v>324</v>
      </c>
      <c r="D156" s="474">
        <v>3</v>
      </c>
      <c r="E156" s="474" t="s">
        <v>323</v>
      </c>
      <c r="F156" s="472">
        <v>45</v>
      </c>
      <c r="G156" s="472">
        <v>0</v>
      </c>
      <c r="H156" s="75"/>
      <c r="I156" s="474">
        <v>45</v>
      </c>
      <c r="J156" s="474">
        <v>1</v>
      </c>
      <c r="K156" s="474">
        <v>1</v>
      </c>
      <c r="L156" s="474">
        <v>35</v>
      </c>
      <c r="M156" s="75">
        <v>10934</v>
      </c>
      <c r="N156" s="75" t="s">
        <v>346</v>
      </c>
      <c r="O156" s="283" t="s">
        <v>192</v>
      </c>
      <c r="P156" s="117">
        <v>45</v>
      </c>
    </row>
    <row r="157" spans="1:17" ht="20.25" x14ac:dyDescent="0.2">
      <c r="A157" s="480"/>
      <c r="B157" s="480"/>
      <c r="C157" s="480"/>
      <c r="D157" s="478"/>
      <c r="E157" s="475"/>
      <c r="F157" s="480"/>
      <c r="G157" s="480"/>
      <c r="H157" s="118"/>
      <c r="I157" s="478"/>
      <c r="J157" s="475"/>
      <c r="K157" s="478"/>
      <c r="L157" s="478"/>
      <c r="M157" s="118"/>
      <c r="N157" s="118"/>
      <c r="O157" s="283"/>
      <c r="P157" s="119"/>
      <c r="Q157" s="39">
        <v>1</v>
      </c>
    </row>
    <row r="158" spans="1:17" ht="19.5" x14ac:dyDescent="0.2">
      <c r="A158" s="472"/>
      <c r="B158" s="472"/>
      <c r="C158" s="472"/>
      <c r="D158" s="474"/>
      <c r="E158" s="474"/>
      <c r="F158" s="472"/>
      <c r="G158" s="472"/>
      <c r="H158" s="75"/>
      <c r="I158" s="474"/>
      <c r="J158" s="474"/>
      <c r="K158" s="474"/>
      <c r="L158" s="474"/>
      <c r="M158" s="75"/>
      <c r="N158" s="75"/>
      <c r="O158" s="75"/>
      <c r="P158" s="117"/>
    </row>
    <row r="159" spans="1:17" ht="19.5" x14ac:dyDescent="0.2">
      <c r="A159" s="480"/>
      <c r="B159" s="480"/>
      <c r="C159" s="480"/>
      <c r="D159" s="478"/>
      <c r="E159" s="475"/>
      <c r="F159" s="480"/>
      <c r="G159" s="480"/>
      <c r="H159" s="118"/>
      <c r="I159" s="478"/>
      <c r="J159" s="475"/>
      <c r="K159" s="478"/>
      <c r="L159" s="478"/>
      <c r="M159" s="76"/>
      <c r="N159" s="76"/>
      <c r="O159" s="76"/>
      <c r="P159" s="120"/>
    </row>
    <row r="160" spans="1:17" ht="19.5" x14ac:dyDescent="0.2">
      <c r="A160" s="472"/>
      <c r="B160" s="472"/>
      <c r="C160" s="531"/>
      <c r="D160" s="474"/>
      <c r="E160" s="474"/>
      <c r="F160" s="472"/>
      <c r="G160" s="472"/>
      <c r="H160" s="75"/>
      <c r="I160" s="474"/>
      <c r="J160" s="474"/>
      <c r="K160" s="474"/>
      <c r="L160" s="474"/>
      <c r="M160" s="75"/>
      <c r="N160" s="75"/>
      <c r="O160" s="75"/>
      <c r="P160" s="117"/>
    </row>
    <row r="161" spans="1:17" ht="19.5" x14ac:dyDescent="0.2">
      <c r="A161" s="480"/>
      <c r="B161" s="480"/>
      <c r="C161" s="532"/>
      <c r="D161" s="478"/>
      <c r="E161" s="475"/>
      <c r="F161" s="480"/>
      <c r="G161" s="480"/>
      <c r="H161" s="118"/>
      <c r="I161" s="478"/>
      <c r="J161" s="475"/>
      <c r="K161" s="478"/>
      <c r="L161" s="478"/>
      <c r="M161" s="118"/>
      <c r="N161" s="118"/>
      <c r="O161" s="118"/>
      <c r="P161" s="119"/>
    </row>
    <row r="162" spans="1:17" ht="19.5" x14ac:dyDescent="0.2">
      <c r="A162" s="472"/>
      <c r="B162" s="472"/>
      <c r="C162" s="531"/>
      <c r="D162" s="474"/>
      <c r="E162" s="474"/>
      <c r="F162" s="472"/>
      <c r="G162" s="472"/>
      <c r="H162" s="75"/>
      <c r="I162" s="474"/>
      <c r="J162" s="474"/>
      <c r="K162" s="474"/>
      <c r="L162" s="474"/>
      <c r="M162" s="75"/>
      <c r="N162" s="75"/>
      <c r="O162" s="75"/>
      <c r="P162" s="117"/>
    </row>
    <row r="163" spans="1:17" ht="19.5" x14ac:dyDescent="0.2">
      <c r="A163" s="480"/>
      <c r="B163" s="480"/>
      <c r="C163" s="532"/>
      <c r="D163" s="478"/>
      <c r="E163" s="475"/>
      <c r="F163" s="480"/>
      <c r="G163" s="480"/>
      <c r="H163" s="118"/>
      <c r="I163" s="478"/>
      <c r="J163" s="475"/>
      <c r="K163" s="478"/>
      <c r="L163" s="478"/>
      <c r="M163" s="118"/>
      <c r="N163" s="118"/>
      <c r="O163" s="118"/>
      <c r="P163" s="119"/>
    </row>
    <row r="164" spans="1:17" ht="19.5" x14ac:dyDescent="0.2">
      <c r="A164" s="472"/>
      <c r="B164" s="472"/>
      <c r="C164" s="472"/>
      <c r="D164" s="474"/>
      <c r="E164" s="474"/>
      <c r="F164" s="472"/>
      <c r="G164" s="472"/>
      <c r="H164" s="75"/>
      <c r="I164" s="474"/>
      <c r="J164" s="474"/>
      <c r="K164" s="474"/>
      <c r="L164" s="474"/>
      <c r="M164" s="75"/>
      <c r="N164" s="75"/>
      <c r="O164" s="75"/>
      <c r="P164" s="117"/>
    </row>
    <row r="165" spans="1:17" ht="19.5" x14ac:dyDescent="0.2">
      <c r="A165" s="480"/>
      <c r="B165" s="480"/>
      <c r="C165" s="480"/>
      <c r="D165" s="478"/>
      <c r="E165" s="475"/>
      <c r="F165" s="480"/>
      <c r="G165" s="480"/>
      <c r="H165" s="118"/>
      <c r="I165" s="478"/>
      <c r="J165" s="475"/>
      <c r="K165" s="478"/>
      <c r="L165" s="478"/>
      <c r="M165" s="118"/>
      <c r="N165" s="118"/>
      <c r="O165" s="118"/>
      <c r="P165" s="119"/>
      <c r="Q165" s="39">
        <v>1</v>
      </c>
    </row>
    <row r="166" spans="1:17" ht="19.5" x14ac:dyDescent="0.2">
      <c r="A166" s="472"/>
      <c r="B166" s="472"/>
      <c r="C166" s="472"/>
      <c r="D166" s="474"/>
      <c r="E166" s="474"/>
      <c r="F166" s="472"/>
      <c r="G166" s="472"/>
      <c r="H166" s="75"/>
      <c r="I166" s="474"/>
      <c r="J166" s="474"/>
      <c r="K166" s="474"/>
      <c r="L166" s="474"/>
      <c r="M166" s="75"/>
      <c r="N166" s="75"/>
      <c r="O166" s="75"/>
      <c r="P166" s="117"/>
    </row>
    <row r="167" spans="1:17" ht="19.5" x14ac:dyDescent="0.2">
      <c r="A167" s="480"/>
      <c r="B167" s="480"/>
      <c r="C167" s="480"/>
      <c r="D167" s="478"/>
      <c r="E167" s="475"/>
      <c r="F167" s="480"/>
      <c r="G167" s="480"/>
      <c r="H167" s="118"/>
      <c r="I167" s="478"/>
      <c r="J167" s="475"/>
      <c r="K167" s="478"/>
      <c r="L167" s="478"/>
      <c r="M167" s="76"/>
      <c r="N167" s="76"/>
      <c r="O167" s="76"/>
      <c r="P167" s="120"/>
    </row>
    <row r="168" spans="1:17" ht="19.5" x14ac:dyDescent="0.2">
      <c r="A168" s="472"/>
      <c r="B168" s="472"/>
      <c r="C168" s="531"/>
      <c r="D168" s="474"/>
      <c r="E168" s="474"/>
      <c r="F168" s="472"/>
      <c r="G168" s="472"/>
      <c r="H168" s="75"/>
      <c r="I168" s="474"/>
      <c r="J168" s="474"/>
      <c r="K168" s="474"/>
      <c r="L168" s="474"/>
      <c r="M168" s="75"/>
      <c r="N168" s="75"/>
      <c r="O168" s="75"/>
      <c r="P168" s="117"/>
    </row>
    <row r="169" spans="1:17" ht="19.5" x14ac:dyDescent="0.2">
      <c r="A169" s="480"/>
      <c r="B169" s="480"/>
      <c r="C169" s="532"/>
      <c r="D169" s="478"/>
      <c r="E169" s="475"/>
      <c r="F169" s="480"/>
      <c r="G169" s="480"/>
      <c r="H169" s="118"/>
      <c r="I169" s="478"/>
      <c r="J169" s="475"/>
      <c r="K169" s="478"/>
      <c r="L169" s="478"/>
      <c r="M169" s="118"/>
      <c r="N169" s="118"/>
      <c r="O169" s="118"/>
      <c r="P169" s="119"/>
    </row>
    <row r="170" spans="1:17" ht="19.5" x14ac:dyDescent="0.2">
      <c r="A170" s="472"/>
      <c r="B170" s="472"/>
      <c r="C170" s="531"/>
      <c r="D170" s="474"/>
      <c r="E170" s="474"/>
      <c r="F170" s="472"/>
      <c r="G170" s="472"/>
      <c r="H170" s="75"/>
      <c r="I170" s="474"/>
      <c r="J170" s="474"/>
      <c r="K170" s="474"/>
      <c r="L170" s="474"/>
      <c r="M170" s="75"/>
      <c r="N170" s="75"/>
      <c r="O170" s="75"/>
      <c r="P170" s="117"/>
    </row>
    <row r="171" spans="1:17" ht="19.5" x14ac:dyDescent="0.2">
      <c r="A171" s="480"/>
      <c r="B171" s="480"/>
      <c r="C171" s="532"/>
      <c r="D171" s="478"/>
      <c r="E171" s="475"/>
      <c r="F171" s="480"/>
      <c r="G171" s="480"/>
      <c r="H171" s="118"/>
      <c r="I171" s="478"/>
      <c r="J171" s="475"/>
      <c r="K171" s="478"/>
      <c r="L171" s="478"/>
      <c r="M171" s="118"/>
      <c r="N171" s="118"/>
      <c r="O171" s="118"/>
      <c r="P171" s="119"/>
    </row>
    <row r="172" spans="1:17" ht="19.5" x14ac:dyDescent="0.2">
      <c r="A172" s="472"/>
      <c r="B172" s="472"/>
      <c r="C172" s="472"/>
      <c r="D172" s="474"/>
      <c r="E172" s="474"/>
      <c r="F172" s="472"/>
      <c r="G172" s="472"/>
      <c r="H172" s="75"/>
      <c r="I172" s="474"/>
      <c r="J172" s="474"/>
      <c r="K172" s="474"/>
      <c r="L172" s="474"/>
      <c r="M172" s="75"/>
      <c r="N172" s="75"/>
      <c r="O172" s="75"/>
      <c r="P172" s="117"/>
    </row>
    <row r="173" spans="1:17" ht="19.5" x14ac:dyDescent="0.2">
      <c r="A173" s="480"/>
      <c r="B173" s="480"/>
      <c r="C173" s="480"/>
      <c r="D173" s="478"/>
      <c r="E173" s="475"/>
      <c r="F173" s="480"/>
      <c r="G173" s="480"/>
      <c r="H173" s="118"/>
      <c r="I173" s="478"/>
      <c r="J173" s="475"/>
      <c r="K173" s="478"/>
      <c r="L173" s="478"/>
      <c r="M173" s="118"/>
      <c r="N173" s="118"/>
      <c r="O173" s="118"/>
      <c r="P173" s="119"/>
      <c r="Q173" s="39">
        <v>1</v>
      </c>
    </row>
    <row r="174" spans="1:17" ht="19.5" x14ac:dyDescent="0.2">
      <c r="A174" s="472"/>
      <c r="B174" s="472"/>
      <c r="C174" s="472"/>
      <c r="D174" s="474"/>
      <c r="E174" s="474"/>
      <c r="F174" s="472"/>
      <c r="G174" s="472"/>
      <c r="H174" s="75"/>
      <c r="I174" s="474"/>
      <c r="J174" s="474"/>
      <c r="K174" s="474"/>
      <c r="L174" s="474"/>
      <c r="M174" s="75"/>
      <c r="N174" s="75"/>
      <c r="O174" s="75"/>
      <c r="P174" s="117"/>
    </row>
    <row r="175" spans="1:17" ht="19.5" x14ac:dyDescent="0.2">
      <c r="A175" s="480"/>
      <c r="B175" s="480"/>
      <c r="C175" s="480"/>
      <c r="D175" s="478"/>
      <c r="E175" s="475"/>
      <c r="F175" s="480"/>
      <c r="G175" s="480"/>
      <c r="H175" s="118"/>
      <c r="I175" s="478"/>
      <c r="J175" s="475"/>
      <c r="K175" s="478"/>
      <c r="L175" s="478"/>
      <c r="M175" s="76"/>
      <c r="N175" s="76"/>
      <c r="O175" s="76"/>
      <c r="P175" s="120"/>
    </row>
    <row r="176" spans="1:17" ht="19.5" x14ac:dyDescent="0.2">
      <c r="A176" s="472"/>
      <c r="B176" s="472"/>
      <c r="C176" s="531"/>
      <c r="D176" s="474"/>
      <c r="E176" s="474"/>
      <c r="F176" s="472"/>
      <c r="G176" s="472"/>
      <c r="H176" s="75"/>
      <c r="I176" s="474"/>
      <c r="J176" s="474"/>
      <c r="K176" s="474"/>
      <c r="L176" s="474"/>
      <c r="M176" s="75"/>
      <c r="N176" s="75"/>
      <c r="O176" s="75"/>
      <c r="P176" s="117"/>
    </row>
    <row r="177" spans="1:17" ht="19.5" x14ac:dyDescent="0.2">
      <c r="A177" s="480"/>
      <c r="B177" s="480"/>
      <c r="C177" s="532"/>
      <c r="D177" s="478"/>
      <c r="E177" s="475"/>
      <c r="F177" s="480"/>
      <c r="G177" s="480"/>
      <c r="H177" s="118"/>
      <c r="I177" s="478"/>
      <c r="J177" s="475"/>
      <c r="K177" s="478"/>
      <c r="L177" s="478"/>
      <c r="M177" s="118"/>
      <c r="N177" s="118"/>
      <c r="O177" s="118"/>
      <c r="P177" s="119"/>
    </row>
    <row r="178" spans="1:17" ht="19.5" x14ac:dyDescent="0.2">
      <c r="A178" s="472"/>
      <c r="B178" s="472"/>
      <c r="C178" s="531"/>
      <c r="D178" s="474"/>
      <c r="E178" s="474"/>
      <c r="F178" s="472"/>
      <c r="G178" s="472"/>
      <c r="H178" s="75"/>
      <c r="I178" s="474"/>
      <c r="J178" s="474"/>
      <c r="K178" s="474"/>
      <c r="L178" s="474"/>
      <c r="M178" s="75"/>
      <c r="N178" s="75"/>
      <c r="O178" s="75"/>
      <c r="P178" s="117"/>
    </row>
    <row r="179" spans="1:17" ht="19.5" x14ac:dyDescent="0.2">
      <c r="A179" s="480"/>
      <c r="B179" s="480"/>
      <c r="C179" s="532"/>
      <c r="D179" s="478"/>
      <c r="E179" s="475"/>
      <c r="F179" s="480"/>
      <c r="G179" s="480"/>
      <c r="H179" s="118"/>
      <c r="I179" s="478"/>
      <c r="J179" s="475"/>
      <c r="K179" s="478"/>
      <c r="L179" s="478"/>
      <c r="M179" s="118"/>
      <c r="N179" s="118"/>
      <c r="O179" s="118"/>
      <c r="P179" s="119"/>
    </row>
    <row r="180" spans="1:17" ht="19.5" x14ac:dyDescent="0.2">
      <c r="A180" s="472"/>
      <c r="B180" s="472"/>
      <c r="C180" s="472"/>
      <c r="D180" s="474"/>
      <c r="E180" s="474"/>
      <c r="F180" s="472"/>
      <c r="G180" s="472"/>
      <c r="H180" s="75"/>
      <c r="I180" s="474"/>
      <c r="J180" s="474"/>
      <c r="K180" s="474"/>
      <c r="L180" s="474"/>
      <c r="M180" s="75"/>
      <c r="N180" s="75"/>
      <c r="O180" s="75"/>
      <c r="P180" s="117"/>
    </row>
    <row r="181" spans="1:17" ht="19.5" x14ac:dyDescent="0.2">
      <c r="A181" s="480"/>
      <c r="B181" s="480"/>
      <c r="C181" s="480"/>
      <c r="D181" s="478"/>
      <c r="E181" s="475"/>
      <c r="F181" s="480"/>
      <c r="G181" s="480"/>
      <c r="H181" s="118"/>
      <c r="I181" s="478"/>
      <c r="J181" s="475"/>
      <c r="K181" s="478"/>
      <c r="L181" s="478"/>
      <c r="M181" s="118"/>
      <c r="N181" s="118"/>
      <c r="O181" s="118"/>
      <c r="P181" s="119"/>
      <c r="Q181" s="39">
        <v>1</v>
      </c>
    </row>
    <row r="182" spans="1:17" ht="19.5" x14ac:dyDescent="0.2">
      <c r="A182" s="472"/>
      <c r="B182" s="472"/>
      <c r="C182" s="472"/>
      <c r="D182" s="474"/>
      <c r="E182" s="474"/>
      <c r="F182" s="472"/>
      <c r="G182" s="472"/>
      <c r="H182" s="75"/>
      <c r="I182" s="474"/>
      <c r="J182" s="474"/>
      <c r="K182" s="474"/>
      <c r="L182" s="474"/>
      <c r="M182" s="75"/>
      <c r="N182" s="75"/>
      <c r="O182" s="75"/>
      <c r="P182" s="117"/>
    </row>
    <row r="183" spans="1:17" ht="19.5" x14ac:dyDescent="0.2">
      <c r="A183" s="480"/>
      <c r="B183" s="480"/>
      <c r="C183" s="480"/>
      <c r="D183" s="478"/>
      <c r="E183" s="475"/>
      <c r="F183" s="480"/>
      <c r="G183" s="480"/>
      <c r="H183" s="118"/>
      <c r="I183" s="478"/>
      <c r="J183" s="475"/>
      <c r="K183" s="478"/>
      <c r="L183" s="478"/>
      <c r="M183" s="76"/>
      <c r="N183" s="76"/>
      <c r="O183" s="76"/>
      <c r="P183" s="120"/>
    </row>
    <row r="184" spans="1:17" ht="19.5" x14ac:dyDescent="0.2">
      <c r="A184" s="472"/>
      <c r="B184" s="472"/>
      <c r="C184" s="531"/>
      <c r="D184" s="474"/>
      <c r="E184" s="474"/>
      <c r="F184" s="472"/>
      <c r="G184" s="472"/>
      <c r="H184" s="75"/>
      <c r="I184" s="474"/>
      <c r="J184" s="474"/>
      <c r="K184" s="474"/>
      <c r="L184" s="474"/>
      <c r="M184" s="75"/>
      <c r="N184" s="75"/>
      <c r="O184" s="75"/>
      <c r="P184" s="117"/>
    </row>
    <row r="185" spans="1:17" ht="19.5" x14ac:dyDescent="0.2">
      <c r="A185" s="480"/>
      <c r="B185" s="480"/>
      <c r="C185" s="532"/>
      <c r="D185" s="478"/>
      <c r="E185" s="475"/>
      <c r="F185" s="480"/>
      <c r="G185" s="480"/>
      <c r="H185" s="118"/>
      <c r="I185" s="478"/>
      <c r="J185" s="475"/>
      <c r="K185" s="478"/>
      <c r="L185" s="478"/>
      <c r="M185" s="118"/>
      <c r="N185" s="118"/>
      <c r="O185" s="118"/>
      <c r="P185" s="119"/>
    </row>
    <row r="186" spans="1:17" ht="19.5" x14ac:dyDescent="0.2">
      <c r="A186" s="472"/>
      <c r="B186" s="472"/>
      <c r="C186" s="531"/>
      <c r="D186" s="474"/>
      <c r="E186" s="474"/>
      <c r="F186" s="472"/>
      <c r="G186" s="472"/>
      <c r="H186" s="75"/>
      <c r="I186" s="474"/>
      <c r="J186" s="474"/>
      <c r="K186" s="474"/>
      <c r="L186" s="474"/>
      <c r="M186" s="75"/>
      <c r="N186" s="75"/>
      <c r="O186" s="75"/>
      <c r="P186" s="117"/>
    </row>
    <row r="187" spans="1:17" ht="19.5" x14ac:dyDescent="0.2">
      <c r="A187" s="480"/>
      <c r="B187" s="480"/>
      <c r="C187" s="532"/>
      <c r="D187" s="478"/>
      <c r="E187" s="475"/>
      <c r="F187" s="480"/>
      <c r="G187" s="480"/>
      <c r="H187" s="118"/>
      <c r="I187" s="478"/>
      <c r="J187" s="475"/>
      <c r="K187" s="478"/>
      <c r="L187" s="478"/>
      <c r="M187" s="118"/>
      <c r="N187" s="118"/>
      <c r="O187" s="118"/>
      <c r="P187" s="119"/>
    </row>
    <row r="188" spans="1:17" ht="19.5" x14ac:dyDescent="0.2">
      <c r="A188" s="472"/>
      <c r="B188" s="472"/>
      <c r="C188" s="472"/>
      <c r="D188" s="474"/>
      <c r="E188" s="474"/>
      <c r="F188" s="472"/>
      <c r="G188" s="472"/>
      <c r="H188" s="75"/>
      <c r="I188" s="474"/>
      <c r="J188" s="474"/>
      <c r="K188" s="474"/>
      <c r="L188" s="474"/>
      <c r="M188" s="75"/>
      <c r="N188" s="75"/>
      <c r="O188" s="75"/>
      <c r="P188" s="117"/>
    </row>
    <row r="189" spans="1:17" ht="19.5" x14ac:dyDescent="0.2">
      <c r="A189" s="480"/>
      <c r="B189" s="480"/>
      <c r="C189" s="480"/>
      <c r="D189" s="478"/>
      <c r="E189" s="475"/>
      <c r="F189" s="480"/>
      <c r="G189" s="480"/>
      <c r="H189" s="118"/>
      <c r="I189" s="478"/>
      <c r="J189" s="475"/>
      <c r="K189" s="478"/>
      <c r="L189" s="478"/>
      <c r="M189" s="118"/>
      <c r="N189" s="118"/>
      <c r="O189" s="118"/>
      <c r="P189" s="119"/>
      <c r="Q189" s="39">
        <v>1</v>
      </c>
    </row>
    <row r="190" spans="1:17" ht="19.5" x14ac:dyDescent="0.2">
      <c r="A190" s="472"/>
      <c r="B190" s="472"/>
      <c r="C190" s="472"/>
      <c r="D190" s="474"/>
      <c r="E190" s="474"/>
      <c r="F190" s="472"/>
      <c r="G190" s="472"/>
      <c r="H190" s="75"/>
      <c r="I190" s="474"/>
      <c r="J190" s="474"/>
      <c r="K190" s="474"/>
      <c r="L190" s="474"/>
      <c r="M190" s="75"/>
      <c r="N190" s="75"/>
      <c r="O190" s="75"/>
      <c r="P190" s="117"/>
    </row>
    <row r="191" spans="1:17" ht="19.5" x14ac:dyDescent="0.2">
      <c r="A191" s="480"/>
      <c r="B191" s="480"/>
      <c r="C191" s="480"/>
      <c r="D191" s="478"/>
      <c r="E191" s="475"/>
      <c r="F191" s="480"/>
      <c r="G191" s="480"/>
      <c r="H191" s="118"/>
      <c r="I191" s="478"/>
      <c r="J191" s="475"/>
      <c r="K191" s="478"/>
      <c r="L191" s="478"/>
      <c r="M191" s="76"/>
      <c r="N191" s="76"/>
      <c r="O191" s="76"/>
      <c r="P191" s="120"/>
    </row>
    <row r="192" spans="1:17" ht="19.5" x14ac:dyDescent="0.2">
      <c r="A192" s="472"/>
      <c r="B192" s="472"/>
      <c r="C192" s="531"/>
      <c r="D192" s="474"/>
      <c r="E192" s="474"/>
      <c r="F192" s="472"/>
      <c r="G192" s="472"/>
      <c r="H192" s="75"/>
      <c r="I192" s="474"/>
      <c r="J192" s="474"/>
      <c r="K192" s="474"/>
      <c r="L192" s="474"/>
      <c r="M192" s="75"/>
      <c r="N192" s="75"/>
      <c r="O192" s="75"/>
      <c r="P192" s="117"/>
    </row>
    <row r="193" spans="1:16" ht="19.5" x14ac:dyDescent="0.2">
      <c r="A193" s="480"/>
      <c r="B193" s="480"/>
      <c r="C193" s="532"/>
      <c r="D193" s="478"/>
      <c r="E193" s="475"/>
      <c r="F193" s="480"/>
      <c r="G193" s="480"/>
      <c r="H193" s="118"/>
      <c r="I193" s="478"/>
      <c r="J193" s="475"/>
      <c r="K193" s="478"/>
      <c r="L193" s="478"/>
      <c r="M193" s="118"/>
      <c r="N193" s="118"/>
      <c r="O193" s="118"/>
      <c r="P193" s="119"/>
    </row>
    <row r="194" spans="1:16" ht="19.5" x14ac:dyDescent="0.2">
      <c r="A194" s="472"/>
      <c r="B194" s="472"/>
      <c r="C194" s="531"/>
      <c r="D194" s="474"/>
      <c r="E194" s="474"/>
      <c r="F194" s="472"/>
      <c r="G194" s="472"/>
      <c r="H194" s="75"/>
      <c r="I194" s="474"/>
      <c r="J194" s="474"/>
      <c r="K194" s="474"/>
      <c r="L194" s="474"/>
      <c r="M194" s="75"/>
      <c r="N194" s="75"/>
      <c r="O194" s="75"/>
      <c r="P194" s="117"/>
    </row>
    <row r="195" spans="1:16" ht="19.5" x14ac:dyDescent="0.2">
      <c r="A195" s="480"/>
      <c r="B195" s="480"/>
      <c r="C195" s="532"/>
      <c r="D195" s="478"/>
      <c r="E195" s="475"/>
      <c r="F195" s="480"/>
      <c r="G195" s="480"/>
      <c r="H195" s="118"/>
      <c r="I195" s="478"/>
      <c r="J195" s="475"/>
      <c r="K195" s="478"/>
      <c r="L195" s="478"/>
      <c r="M195" s="118"/>
      <c r="N195" s="118"/>
      <c r="O195" s="118"/>
      <c r="P195" s="119"/>
    </row>
    <row r="196" spans="1:16" ht="19.5" x14ac:dyDescent="0.2">
      <c r="A196" s="472"/>
      <c r="B196" s="472"/>
      <c r="C196" s="531"/>
      <c r="D196" s="474"/>
      <c r="E196" s="474"/>
      <c r="F196" s="472"/>
      <c r="G196" s="472"/>
      <c r="H196" s="75"/>
      <c r="I196" s="474"/>
      <c r="J196" s="474"/>
      <c r="K196" s="474"/>
      <c r="L196" s="474"/>
      <c r="M196" s="75"/>
      <c r="N196" s="75"/>
      <c r="O196" s="75"/>
      <c r="P196" s="117"/>
    </row>
    <row r="197" spans="1:16" ht="19.5" x14ac:dyDescent="0.2">
      <c r="A197" s="480"/>
      <c r="B197" s="480"/>
      <c r="C197" s="532"/>
      <c r="D197" s="478"/>
      <c r="E197" s="475"/>
      <c r="F197" s="480"/>
      <c r="G197" s="480"/>
      <c r="H197" s="118"/>
      <c r="I197" s="478"/>
      <c r="J197" s="475"/>
      <c r="K197" s="478"/>
      <c r="L197" s="478"/>
      <c r="M197" s="118"/>
      <c r="N197" s="118"/>
      <c r="O197" s="118"/>
      <c r="P197" s="119"/>
    </row>
    <row r="198" spans="1:16" ht="19.5" x14ac:dyDescent="0.25">
      <c r="A198" s="525" t="s">
        <v>53</v>
      </c>
      <c r="B198" s="525"/>
      <c r="C198" s="525"/>
      <c r="D198" s="525"/>
      <c r="E198" s="525"/>
      <c r="F198" s="525"/>
      <c r="G198" s="525"/>
      <c r="H198" s="525"/>
      <c r="I198" s="525"/>
      <c r="J198" s="525"/>
      <c r="K198" s="525"/>
      <c r="L198" s="525"/>
      <c r="M198" s="215"/>
      <c r="N198" s="215"/>
      <c r="O198" s="215"/>
      <c r="P198" s="216"/>
    </row>
    <row r="199" spans="1:16" ht="19.5" x14ac:dyDescent="0.25">
      <c r="A199" s="524" t="s">
        <v>54</v>
      </c>
      <c r="B199" s="525"/>
      <c r="C199" s="215"/>
      <c r="D199" s="215"/>
      <c r="E199" s="215"/>
      <c r="F199" s="215"/>
      <c r="G199" s="215"/>
      <c r="H199" s="215"/>
      <c r="I199" s="215"/>
      <c r="J199" s="215"/>
      <c r="K199" s="215"/>
      <c r="L199" s="213"/>
      <c r="M199" s="213"/>
      <c r="N199" s="213"/>
      <c r="O199" s="213"/>
      <c r="P199" s="213"/>
    </row>
    <row r="200" spans="1:16" ht="19.5" x14ac:dyDescent="0.3">
      <c r="A200" s="114"/>
      <c r="B200" s="114"/>
      <c r="C200" s="114"/>
      <c r="D200" s="114"/>
      <c r="E200" s="114"/>
      <c r="F200" s="114"/>
      <c r="G200" s="114"/>
      <c r="H200" s="114"/>
      <c r="I200" s="114"/>
      <c r="J200" s="114"/>
      <c r="K200" s="526" t="s">
        <v>94</v>
      </c>
      <c r="L200" s="526"/>
      <c r="M200" s="526"/>
      <c r="N200" s="526"/>
      <c r="O200" s="526"/>
      <c r="P200" s="213"/>
    </row>
    <row r="201" spans="1:16" ht="18.75" x14ac:dyDescent="0.25">
      <c r="A201" s="114"/>
      <c r="B201" s="114"/>
      <c r="C201" s="114"/>
      <c r="D201" s="114"/>
      <c r="E201" s="114"/>
      <c r="F201" s="114"/>
      <c r="G201" s="114"/>
      <c r="H201" s="114"/>
      <c r="I201" s="114"/>
      <c r="J201" s="114"/>
      <c r="K201" s="213"/>
      <c r="L201" s="213"/>
      <c r="M201" s="213"/>
      <c r="N201" s="213"/>
      <c r="O201" s="213"/>
      <c r="P201" s="217"/>
    </row>
    <row r="202" spans="1:16" ht="18" x14ac:dyDescent="0.25">
      <c r="A202" s="115"/>
      <c r="B202" s="115"/>
      <c r="C202" s="233" t="s">
        <v>303</v>
      </c>
      <c r="D202" s="115"/>
      <c r="E202" s="115"/>
      <c r="F202" s="115"/>
      <c r="G202" s="115"/>
      <c r="H202" s="115"/>
      <c r="I202" s="115"/>
      <c r="J202" s="115"/>
      <c r="K202" s="218"/>
      <c r="L202" s="218"/>
      <c r="M202" s="218"/>
      <c r="N202" s="218"/>
      <c r="O202" s="218"/>
      <c r="P202" s="115"/>
    </row>
    <row r="203" spans="1:16" ht="18" x14ac:dyDescent="0.25">
      <c r="A203" s="115"/>
      <c r="B203" s="115"/>
      <c r="C203" s="234" t="s">
        <v>142</v>
      </c>
      <c r="D203" s="115"/>
      <c r="E203" s="115"/>
      <c r="F203" s="115"/>
      <c r="G203" s="115"/>
      <c r="H203" s="115"/>
      <c r="I203" s="115"/>
      <c r="J203" s="115"/>
      <c r="K203" s="218"/>
      <c r="L203" s="218"/>
      <c r="M203" s="218"/>
      <c r="N203" s="218"/>
      <c r="O203" s="218"/>
      <c r="P203" s="115"/>
    </row>
    <row r="204" spans="1:16" ht="18" x14ac:dyDescent="0.25">
      <c r="A204" s="115"/>
      <c r="B204" s="115"/>
      <c r="C204" s="235" t="s">
        <v>304</v>
      </c>
      <c r="D204" s="115"/>
      <c r="E204" s="115"/>
      <c r="F204" s="115"/>
      <c r="G204" s="115"/>
      <c r="H204" s="115"/>
      <c r="I204" s="115"/>
      <c r="J204" s="115"/>
      <c r="K204" s="218"/>
      <c r="L204" s="218"/>
      <c r="M204" s="218"/>
      <c r="N204" s="218"/>
      <c r="O204" s="218"/>
      <c r="P204" s="115"/>
    </row>
    <row r="205" spans="1:16" ht="18" x14ac:dyDescent="0.25">
      <c r="A205" s="115"/>
      <c r="B205" s="115"/>
      <c r="C205" s="236" t="s">
        <v>305</v>
      </c>
      <c r="D205" s="115"/>
      <c r="E205" s="115"/>
      <c r="F205" s="115"/>
      <c r="G205" s="115"/>
      <c r="H205" s="115"/>
      <c r="I205" s="115"/>
      <c r="J205" s="115"/>
      <c r="K205" s="218"/>
      <c r="L205" s="218"/>
      <c r="M205" s="218"/>
      <c r="N205" s="218"/>
      <c r="O205" s="218"/>
      <c r="P205" s="219"/>
    </row>
    <row r="206" spans="1:16" ht="18" x14ac:dyDescent="0.25">
      <c r="A206" s="115"/>
      <c r="B206" s="115"/>
      <c r="C206" s="237" t="s">
        <v>306</v>
      </c>
      <c r="D206" s="115"/>
      <c r="E206" s="115"/>
      <c r="F206" s="115"/>
      <c r="G206" s="115"/>
      <c r="H206" s="115"/>
      <c r="I206" s="115"/>
      <c r="J206" s="115"/>
      <c r="K206" s="218"/>
      <c r="L206" s="218"/>
      <c r="M206" s="218"/>
      <c r="N206" s="218"/>
      <c r="O206" s="218"/>
      <c r="P206" s="218"/>
    </row>
    <row r="207" spans="1:16" ht="18" x14ac:dyDescent="0.25">
      <c r="A207" s="115"/>
      <c r="B207" s="115"/>
      <c r="C207" s="115"/>
      <c r="D207" s="115"/>
      <c r="E207" s="115"/>
      <c r="F207" s="115"/>
      <c r="G207" s="115"/>
      <c r="H207" s="115"/>
      <c r="I207" s="115"/>
      <c r="J207" s="115"/>
      <c r="K207" s="218"/>
      <c r="L207" s="218"/>
      <c r="M207" s="218"/>
      <c r="N207" s="218"/>
      <c r="O207" s="218"/>
      <c r="P207" s="218"/>
    </row>
    <row r="208" spans="1:16" ht="18" x14ac:dyDescent="0.25">
      <c r="A208" s="115"/>
      <c r="B208" s="115"/>
      <c r="C208" s="115"/>
      <c r="D208" s="115"/>
      <c r="E208" s="115"/>
      <c r="F208" s="115"/>
      <c r="G208" s="115"/>
      <c r="H208" s="115"/>
      <c r="I208" s="115"/>
      <c r="J208" s="115"/>
      <c r="K208" s="218"/>
      <c r="L208" s="218"/>
      <c r="M208" s="218"/>
      <c r="N208" s="218"/>
      <c r="O208" s="218"/>
      <c r="P208" s="218"/>
    </row>
  </sheetData>
  <mergeCells count="1063">
    <mergeCell ref="K138:K139"/>
    <mergeCell ref="L138:L139"/>
    <mergeCell ref="A196:A197"/>
    <mergeCell ref="B196:B197"/>
    <mergeCell ref="C196:C197"/>
    <mergeCell ref="D196:D197"/>
    <mergeCell ref="E196:E197"/>
    <mergeCell ref="F196:F197"/>
    <mergeCell ref="G196:G197"/>
    <mergeCell ref="I196:I197"/>
    <mergeCell ref="J196:J197"/>
    <mergeCell ref="K196:K197"/>
    <mergeCell ref="L196:L197"/>
    <mergeCell ref="A138:A139"/>
    <mergeCell ref="B138:B139"/>
    <mergeCell ref="C138:C139"/>
    <mergeCell ref="D138:D139"/>
    <mergeCell ref="E138:E139"/>
    <mergeCell ref="F138:F139"/>
    <mergeCell ref="G138:G139"/>
    <mergeCell ref="I138:I139"/>
    <mergeCell ref="J138:J139"/>
    <mergeCell ref="A140:A141"/>
    <mergeCell ref="B140:B141"/>
    <mergeCell ref="C140:C141"/>
    <mergeCell ref="D140:D141"/>
    <mergeCell ref="E140:E141"/>
    <mergeCell ref="F140:F141"/>
    <mergeCell ref="G140:G141"/>
    <mergeCell ref="I140:I141"/>
    <mergeCell ref="J140:J141"/>
    <mergeCell ref="K140:K141"/>
    <mergeCell ref="K118:K119"/>
    <mergeCell ref="L118:L119"/>
    <mergeCell ref="A136:A137"/>
    <mergeCell ref="B136:B137"/>
    <mergeCell ref="C136:C137"/>
    <mergeCell ref="D136:D137"/>
    <mergeCell ref="E136:E137"/>
    <mergeCell ref="F136:F137"/>
    <mergeCell ref="G136:G137"/>
    <mergeCell ref="I136:I137"/>
    <mergeCell ref="J136:J137"/>
    <mergeCell ref="K136:K137"/>
    <mergeCell ref="L136:L137"/>
    <mergeCell ref="A118:A119"/>
    <mergeCell ref="B118:B119"/>
    <mergeCell ref="C118:C119"/>
    <mergeCell ref="D118:D119"/>
    <mergeCell ref="E118:E119"/>
    <mergeCell ref="F118:F119"/>
    <mergeCell ref="G118:G119"/>
    <mergeCell ref="I118:I119"/>
    <mergeCell ref="J118:J119"/>
    <mergeCell ref="K132:K133"/>
    <mergeCell ref="L132:L133"/>
    <mergeCell ref="K134:K135"/>
    <mergeCell ref="L134:L135"/>
    <mergeCell ref="A132:A133"/>
    <mergeCell ref="B132:B133"/>
    <mergeCell ref="C132:C133"/>
    <mergeCell ref="D132:D133"/>
    <mergeCell ref="E132:E133"/>
    <mergeCell ref="F132:F133"/>
    <mergeCell ref="K114:K115"/>
    <mergeCell ref="L114:L115"/>
    <mergeCell ref="A116:A117"/>
    <mergeCell ref="B116:B117"/>
    <mergeCell ref="C116:C117"/>
    <mergeCell ref="D116:D117"/>
    <mergeCell ref="E116:E117"/>
    <mergeCell ref="F116:F117"/>
    <mergeCell ref="G116:G117"/>
    <mergeCell ref="I116:I117"/>
    <mergeCell ref="J116:J117"/>
    <mergeCell ref="K116:K117"/>
    <mergeCell ref="L116:L117"/>
    <mergeCell ref="A114:A115"/>
    <mergeCell ref="B114:B115"/>
    <mergeCell ref="C114:C115"/>
    <mergeCell ref="D114:D115"/>
    <mergeCell ref="E114:E115"/>
    <mergeCell ref="F114:F115"/>
    <mergeCell ref="G114:G115"/>
    <mergeCell ref="I114:I115"/>
    <mergeCell ref="J114:J115"/>
    <mergeCell ref="G132:G133"/>
    <mergeCell ref="I132:I133"/>
    <mergeCell ref="J132:J133"/>
    <mergeCell ref="A134:A135"/>
    <mergeCell ref="B134:B135"/>
    <mergeCell ref="C134:C135"/>
    <mergeCell ref="D134:D135"/>
    <mergeCell ref="E134:E135"/>
    <mergeCell ref="F134:F135"/>
    <mergeCell ref="G134:G135"/>
    <mergeCell ref="I134:I135"/>
    <mergeCell ref="J134:J135"/>
    <mergeCell ref="K128:K129"/>
    <mergeCell ref="L128:L129"/>
    <mergeCell ref="A130:A131"/>
    <mergeCell ref="B130:B131"/>
    <mergeCell ref="C130:C131"/>
    <mergeCell ref="D130:D131"/>
    <mergeCell ref="E130:E131"/>
    <mergeCell ref="F130:F131"/>
    <mergeCell ref="G130:G131"/>
    <mergeCell ref="I130:I131"/>
    <mergeCell ref="J130:J131"/>
    <mergeCell ref="K130:K131"/>
    <mergeCell ref="L130:L131"/>
    <mergeCell ref="A128:A129"/>
    <mergeCell ref="B128:B129"/>
    <mergeCell ref="C128:C129"/>
    <mergeCell ref="D128:D129"/>
    <mergeCell ref="E128:E129"/>
    <mergeCell ref="F128:F129"/>
    <mergeCell ref="G128:G129"/>
    <mergeCell ref="I128:I129"/>
    <mergeCell ref="J128:J129"/>
    <mergeCell ref="K124:K125"/>
    <mergeCell ref="L124:L125"/>
    <mergeCell ref="A126:A127"/>
    <mergeCell ref="B126:B127"/>
    <mergeCell ref="C126:C127"/>
    <mergeCell ref="D126:D127"/>
    <mergeCell ref="E126:E127"/>
    <mergeCell ref="F126:F127"/>
    <mergeCell ref="G126:G127"/>
    <mergeCell ref="I126:I127"/>
    <mergeCell ref="J126:J127"/>
    <mergeCell ref="K126:K127"/>
    <mergeCell ref="L126:L127"/>
    <mergeCell ref="A124:A125"/>
    <mergeCell ref="B124:B125"/>
    <mergeCell ref="C124:C125"/>
    <mergeCell ref="D124:D125"/>
    <mergeCell ref="E124:E125"/>
    <mergeCell ref="F124:F125"/>
    <mergeCell ref="G124:G125"/>
    <mergeCell ref="I124:I125"/>
    <mergeCell ref="J124:J125"/>
    <mergeCell ref="K120:K121"/>
    <mergeCell ref="L120:L121"/>
    <mergeCell ref="A122:A123"/>
    <mergeCell ref="B122:B123"/>
    <mergeCell ref="C122:C123"/>
    <mergeCell ref="D122:D123"/>
    <mergeCell ref="E122:E123"/>
    <mergeCell ref="F122:F123"/>
    <mergeCell ref="G122:G123"/>
    <mergeCell ref="I122:I123"/>
    <mergeCell ref="J122:J123"/>
    <mergeCell ref="K122:K123"/>
    <mergeCell ref="L122:L123"/>
    <mergeCell ref="A120:A121"/>
    <mergeCell ref="B120:B121"/>
    <mergeCell ref="C120:C121"/>
    <mergeCell ref="D120:D121"/>
    <mergeCell ref="E120:E121"/>
    <mergeCell ref="F120:F121"/>
    <mergeCell ref="G120:G121"/>
    <mergeCell ref="I120:I121"/>
    <mergeCell ref="J120:J121"/>
    <mergeCell ref="K110:K111"/>
    <mergeCell ref="L110:L111"/>
    <mergeCell ref="A112:A113"/>
    <mergeCell ref="B112:B113"/>
    <mergeCell ref="C112:C113"/>
    <mergeCell ref="D112:D113"/>
    <mergeCell ref="E112:E113"/>
    <mergeCell ref="F112:F113"/>
    <mergeCell ref="G112:G113"/>
    <mergeCell ref="I112:I113"/>
    <mergeCell ref="J112:J113"/>
    <mergeCell ref="K112:K113"/>
    <mergeCell ref="L112:L113"/>
    <mergeCell ref="A110:A111"/>
    <mergeCell ref="B110:B111"/>
    <mergeCell ref="C110:C111"/>
    <mergeCell ref="D110:D111"/>
    <mergeCell ref="E110:E111"/>
    <mergeCell ref="F110:F111"/>
    <mergeCell ref="G110:G111"/>
    <mergeCell ref="I110:I111"/>
    <mergeCell ref="J110:J111"/>
    <mergeCell ref="K106:K107"/>
    <mergeCell ref="L106:L107"/>
    <mergeCell ref="A108:A109"/>
    <mergeCell ref="B108:B109"/>
    <mergeCell ref="C108:C109"/>
    <mergeCell ref="D108:D109"/>
    <mergeCell ref="E108:E109"/>
    <mergeCell ref="F108:F109"/>
    <mergeCell ref="G108:G109"/>
    <mergeCell ref="I108:I109"/>
    <mergeCell ref="J108:J109"/>
    <mergeCell ref="K108:K109"/>
    <mergeCell ref="L108:L109"/>
    <mergeCell ref="A106:A107"/>
    <mergeCell ref="B106:B107"/>
    <mergeCell ref="C106:C107"/>
    <mergeCell ref="D106:D107"/>
    <mergeCell ref="E106:E107"/>
    <mergeCell ref="F106:F107"/>
    <mergeCell ref="G106:G107"/>
    <mergeCell ref="I106:I107"/>
    <mergeCell ref="J106:J107"/>
    <mergeCell ref="K102:K103"/>
    <mergeCell ref="L102:L103"/>
    <mergeCell ref="A104:A105"/>
    <mergeCell ref="B104:B105"/>
    <mergeCell ref="C104:C105"/>
    <mergeCell ref="D104:D105"/>
    <mergeCell ref="E104:E105"/>
    <mergeCell ref="F104:F105"/>
    <mergeCell ref="G104:G105"/>
    <mergeCell ref="I104:I105"/>
    <mergeCell ref="J104:J105"/>
    <mergeCell ref="K104:K105"/>
    <mergeCell ref="L104:L105"/>
    <mergeCell ref="A102:A103"/>
    <mergeCell ref="B102:B103"/>
    <mergeCell ref="C102:C103"/>
    <mergeCell ref="D102:D103"/>
    <mergeCell ref="E102:E103"/>
    <mergeCell ref="F102:F103"/>
    <mergeCell ref="G102:G103"/>
    <mergeCell ref="I102:I103"/>
    <mergeCell ref="J102:J103"/>
    <mergeCell ref="K98:K99"/>
    <mergeCell ref="L98:L99"/>
    <mergeCell ref="A100:A101"/>
    <mergeCell ref="B100:B101"/>
    <mergeCell ref="C100:C101"/>
    <mergeCell ref="D100:D101"/>
    <mergeCell ref="E100:E101"/>
    <mergeCell ref="F100:F101"/>
    <mergeCell ref="G100:G101"/>
    <mergeCell ref="I100:I101"/>
    <mergeCell ref="J100:J101"/>
    <mergeCell ref="K100:K101"/>
    <mergeCell ref="L100:L101"/>
    <mergeCell ref="A98:A99"/>
    <mergeCell ref="B98:B99"/>
    <mergeCell ref="C98:C99"/>
    <mergeCell ref="D98:D99"/>
    <mergeCell ref="E98:E99"/>
    <mergeCell ref="F98:F99"/>
    <mergeCell ref="G98:G99"/>
    <mergeCell ref="I98:I99"/>
    <mergeCell ref="J98:J99"/>
    <mergeCell ref="G94:G95"/>
    <mergeCell ref="I94:I95"/>
    <mergeCell ref="J94:J95"/>
    <mergeCell ref="K94:K95"/>
    <mergeCell ref="L94:L95"/>
    <mergeCell ref="A94:A95"/>
    <mergeCell ref="B94:B95"/>
    <mergeCell ref="C94:C95"/>
    <mergeCell ref="D94:D95"/>
    <mergeCell ref="E94:E95"/>
    <mergeCell ref="F94:F95"/>
    <mergeCell ref="K96:K97"/>
    <mergeCell ref="L96:L97"/>
    <mergeCell ref="A96:A97"/>
    <mergeCell ref="B96:B97"/>
    <mergeCell ref="C96:C97"/>
    <mergeCell ref="D96:D97"/>
    <mergeCell ref="E96:E97"/>
    <mergeCell ref="F96:F97"/>
    <mergeCell ref="G96:G97"/>
    <mergeCell ref="I96:I97"/>
    <mergeCell ref="J96:J97"/>
    <mergeCell ref="G80:G81"/>
    <mergeCell ref="I80:I81"/>
    <mergeCell ref="J80:J81"/>
    <mergeCell ref="K80:K81"/>
    <mergeCell ref="L80:L81"/>
    <mergeCell ref="F80:F81"/>
    <mergeCell ref="I88:I89"/>
    <mergeCell ref="J88:J89"/>
    <mergeCell ref="K88:K89"/>
    <mergeCell ref="L88:L89"/>
    <mergeCell ref="G86:G87"/>
    <mergeCell ref="I86:I87"/>
    <mergeCell ref="J86:J87"/>
    <mergeCell ref="K86:K87"/>
    <mergeCell ref="L86:L87"/>
    <mergeCell ref="F86:F87"/>
    <mergeCell ref="F84:F85"/>
    <mergeCell ref="G84:G85"/>
    <mergeCell ref="A90:A91"/>
    <mergeCell ref="B90:B91"/>
    <mergeCell ref="C90:C91"/>
    <mergeCell ref="D90:D91"/>
    <mergeCell ref="E90:E91"/>
    <mergeCell ref="A80:A81"/>
    <mergeCell ref="B80:B81"/>
    <mergeCell ref="C80:C81"/>
    <mergeCell ref="D80:D81"/>
    <mergeCell ref="E80:E81"/>
    <mergeCell ref="A88:A89"/>
    <mergeCell ref="B88:B89"/>
    <mergeCell ref="C88:C89"/>
    <mergeCell ref="D88:D89"/>
    <mergeCell ref="E88:E89"/>
    <mergeCell ref="A86:A87"/>
    <mergeCell ref="B86:B87"/>
    <mergeCell ref="C86:C87"/>
    <mergeCell ref="D86:D87"/>
    <mergeCell ref="E86:E87"/>
    <mergeCell ref="A84:A85"/>
    <mergeCell ref="B84:B85"/>
    <mergeCell ref="C84:C85"/>
    <mergeCell ref="D84:D85"/>
    <mergeCell ref="A82:A83"/>
    <mergeCell ref="B82:B83"/>
    <mergeCell ref="C82:C83"/>
    <mergeCell ref="D82:D83"/>
    <mergeCell ref="A78:A79"/>
    <mergeCell ref="B78:B79"/>
    <mergeCell ref="C78:C79"/>
    <mergeCell ref="D78:D79"/>
    <mergeCell ref="E78:E79"/>
    <mergeCell ref="A76:A77"/>
    <mergeCell ref="B76:B77"/>
    <mergeCell ref="C76:C77"/>
    <mergeCell ref="D76:D77"/>
    <mergeCell ref="E76:E77"/>
    <mergeCell ref="F78:F79"/>
    <mergeCell ref="G78:G79"/>
    <mergeCell ref="I78:I79"/>
    <mergeCell ref="J78:J79"/>
    <mergeCell ref="K78:K79"/>
    <mergeCell ref="L78:L79"/>
    <mergeCell ref="G76:G77"/>
    <mergeCell ref="I76:I77"/>
    <mergeCell ref="J76:J77"/>
    <mergeCell ref="K76:K77"/>
    <mergeCell ref="L76:L77"/>
    <mergeCell ref="F76:F77"/>
    <mergeCell ref="K70:K71"/>
    <mergeCell ref="L70:L71"/>
    <mergeCell ref="G68:G69"/>
    <mergeCell ref="I68:I69"/>
    <mergeCell ref="J68:J69"/>
    <mergeCell ref="K68:K69"/>
    <mergeCell ref="L68:L69"/>
    <mergeCell ref="F68:F69"/>
    <mergeCell ref="A74:A75"/>
    <mergeCell ref="B74:B75"/>
    <mergeCell ref="C74:C75"/>
    <mergeCell ref="D74:D75"/>
    <mergeCell ref="E74:E75"/>
    <mergeCell ref="A72:A73"/>
    <mergeCell ref="B72:B73"/>
    <mergeCell ref="C72:C73"/>
    <mergeCell ref="D72:D73"/>
    <mergeCell ref="E72:E73"/>
    <mergeCell ref="F74:F75"/>
    <mergeCell ref="G74:G75"/>
    <mergeCell ref="I74:I75"/>
    <mergeCell ref="J74:J75"/>
    <mergeCell ref="K74:K75"/>
    <mergeCell ref="L74:L75"/>
    <mergeCell ref="G72:G73"/>
    <mergeCell ref="I72:I73"/>
    <mergeCell ref="J72:J73"/>
    <mergeCell ref="K72:K73"/>
    <mergeCell ref="L72:L73"/>
    <mergeCell ref="F72:F73"/>
    <mergeCell ref="K62:K63"/>
    <mergeCell ref="L62:L63"/>
    <mergeCell ref="G60:G61"/>
    <mergeCell ref="I60:I61"/>
    <mergeCell ref="J60:J61"/>
    <mergeCell ref="K60:K61"/>
    <mergeCell ref="L60:L61"/>
    <mergeCell ref="F60:F61"/>
    <mergeCell ref="A66:A67"/>
    <mergeCell ref="B66:B67"/>
    <mergeCell ref="C66:C67"/>
    <mergeCell ref="D66:D67"/>
    <mergeCell ref="E66:E67"/>
    <mergeCell ref="A64:A65"/>
    <mergeCell ref="B64:B65"/>
    <mergeCell ref="C64:C65"/>
    <mergeCell ref="D64:D65"/>
    <mergeCell ref="E64:E65"/>
    <mergeCell ref="F66:F67"/>
    <mergeCell ref="F64:F65"/>
    <mergeCell ref="G66:G67"/>
    <mergeCell ref="I66:I67"/>
    <mergeCell ref="J66:J67"/>
    <mergeCell ref="K66:K67"/>
    <mergeCell ref="L66:L67"/>
    <mergeCell ref="G64:G65"/>
    <mergeCell ref="I64:I65"/>
    <mergeCell ref="J64:J65"/>
    <mergeCell ref="K64:K65"/>
    <mergeCell ref="L64:L65"/>
    <mergeCell ref="K50:K51"/>
    <mergeCell ref="L50:L51"/>
    <mergeCell ref="F50:F51"/>
    <mergeCell ref="A54:A55"/>
    <mergeCell ref="B54:B55"/>
    <mergeCell ref="C54:C55"/>
    <mergeCell ref="D54:D55"/>
    <mergeCell ref="E54:E55"/>
    <mergeCell ref="F58:F59"/>
    <mergeCell ref="G58:G59"/>
    <mergeCell ref="I58:I59"/>
    <mergeCell ref="J58:J59"/>
    <mergeCell ref="K58:K59"/>
    <mergeCell ref="L58:L59"/>
    <mergeCell ref="G54:G55"/>
    <mergeCell ref="I54:I55"/>
    <mergeCell ref="J54:J55"/>
    <mergeCell ref="K54:K55"/>
    <mergeCell ref="L54:L55"/>
    <mergeCell ref="F54:F55"/>
    <mergeCell ref="I56:I57"/>
    <mergeCell ref="J56:J57"/>
    <mergeCell ref="K56:K57"/>
    <mergeCell ref="L56:L57"/>
    <mergeCell ref="F56:F57"/>
    <mergeCell ref="G56:G57"/>
    <mergeCell ref="A58:A59"/>
    <mergeCell ref="B58:B59"/>
    <mergeCell ref="C58:C59"/>
    <mergeCell ref="D58:D59"/>
    <mergeCell ref="E58:E59"/>
    <mergeCell ref="I50:I51"/>
    <mergeCell ref="A46:A47"/>
    <mergeCell ref="B46:B47"/>
    <mergeCell ref="C46:C47"/>
    <mergeCell ref="D46:D47"/>
    <mergeCell ref="E46:E47"/>
    <mergeCell ref="A42:A43"/>
    <mergeCell ref="B42:B43"/>
    <mergeCell ref="C42:C43"/>
    <mergeCell ref="D42:D43"/>
    <mergeCell ref="E42:E43"/>
    <mergeCell ref="F46:F47"/>
    <mergeCell ref="G46:G47"/>
    <mergeCell ref="I46:I47"/>
    <mergeCell ref="J46:J47"/>
    <mergeCell ref="K46:K47"/>
    <mergeCell ref="L46:L47"/>
    <mergeCell ref="G42:G43"/>
    <mergeCell ref="I42:I43"/>
    <mergeCell ref="J42:J43"/>
    <mergeCell ref="K42:K43"/>
    <mergeCell ref="L42:L43"/>
    <mergeCell ref="F42:F43"/>
    <mergeCell ref="F44:F45"/>
    <mergeCell ref="G44:G45"/>
    <mergeCell ref="I44:I45"/>
    <mergeCell ref="J44:J45"/>
    <mergeCell ref="K44:K45"/>
    <mergeCell ref="L44:L45"/>
    <mergeCell ref="A44:A45"/>
    <mergeCell ref="B44:B45"/>
    <mergeCell ref="C44:C45"/>
    <mergeCell ref="D44:D45"/>
    <mergeCell ref="A40:A41"/>
    <mergeCell ref="B40:B41"/>
    <mergeCell ref="C40:C41"/>
    <mergeCell ref="D40:D41"/>
    <mergeCell ref="E40:E41"/>
    <mergeCell ref="A38:A39"/>
    <mergeCell ref="B38:B39"/>
    <mergeCell ref="C38:C39"/>
    <mergeCell ref="D38:D39"/>
    <mergeCell ref="E38:E39"/>
    <mergeCell ref="F40:F41"/>
    <mergeCell ref="G40:G41"/>
    <mergeCell ref="I40:I41"/>
    <mergeCell ref="J40:J41"/>
    <mergeCell ref="K40:K41"/>
    <mergeCell ref="L40:L41"/>
    <mergeCell ref="G38:G39"/>
    <mergeCell ref="I38:I39"/>
    <mergeCell ref="J38:J39"/>
    <mergeCell ref="K38:K39"/>
    <mergeCell ref="L38:L39"/>
    <mergeCell ref="F38:F39"/>
    <mergeCell ref="A36:A37"/>
    <mergeCell ref="B36:B37"/>
    <mergeCell ref="C36:C37"/>
    <mergeCell ref="D36:D37"/>
    <mergeCell ref="E36:E37"/>
    <mergeCell ref="A34:A35"/>
    <mergeCell ref="B34:B35"/>
    <mergeCell ref="C34:C35"/>
    <mergeCell ref="D34:D35"/>
    <mergeCell ref="E34:E35"/>
    <mergeCell ref="F36:F37"/>
    <mergeCell ref="G36:G37"/>
    <mergeCell ref="I36:I37"/>
    <mergeCell ref="J36:J37"/>
    <mergeCell ref="K36:K37"/>
    <mergeCell ref="L36:L37"/>
    <mergeCell ref="G34:G35"/>
    <mergeCell ref="I34:I35"/>
    <mergeCell ref="J34:J35"/>
    <mergeCell ref="K34:K35"/>
    <mergeCell ref="L34:L35"/>
    <mergeCell ref="F34:F35"/>
    <mergeCell ref="A32:A33"/>
    <mergeCell ref="B32:B33"/>
    <mergeCell ref="C32:C33"/>
    <mergeCell ref="D32:D33"/>
    <mergeCell ref="E32:E33"/>
    <mergeCell ref="A30:A31"/>
    <mergeCell ref="B30:B31"/>
    <mergeCell ref="C30:C31"/>
    <mergeCell ref="D30:D31"/>
    <mergeCell ref="E30:E31"/>
    <mergeCell ref="F32:F33"/>
    <mergeCell ref="G32:G33"/>
    <mergeCell ref="I32:I33"/>
    <mergeCell ref="J32:J33"/>
    <mergeCell ref="K32:K33"/>
    <mergeCell ref="L32:L33"/>
    <mergeCell ref="G30:G31"/>
    <mergeCell ref="I30:I31"/>
    <mergeCell ref="J30:J31"/>
    <mergeCell ref="K30:K31"/>
    <mergeCell ref="L30:L31"/>
    <mergeCell ref="F30:F31"/>
    <mergeCell ref="A28:A29"/>
    <mergeCell ref="B28:B29"/>
    <mergeCell ref="C28:C29"/>
    <mergeCell ref="D28:D29"/>
    <mergeCell ref="E28:E29"/>
    <mergeCell ref="A26:A27"/>
    <mergeCell ref="B26:B27"/>
    <mergeCell ref="C26:C27"/>
    <mergeCell ref="D26:D27"/>
    <mergeCell ref="E26:E27"/>
    <mergeCell ref="F28:F29"/>
    <mergeCell ref="G28:G29"/>
    <mergeCell ref="I28:I29"/>
    <mergeCell ref="J28:J29"/>
    <mergeCell ref="K28:K29"/>
    <mergeCell ref="L28:L29"/>
    <mergeCell ref="G26:G27"/>
    <mergeCell ref="I26:I27"/>
    <mergeCell ref="J26:J27"/>
    <mergeCell ref="K26:K27"/>
    <mergeCell ref="L26:L27"/>
    <mergeCell ref="F26:F27"/>
    <mergeCell ref="B24:B25"/>
    <mergeCell ref="C24:C25"/>
    <mergeCell ref="D24:D25"/>
    <mergeCell ref="E24:E25"/>
    <mergeCell ref="A22:A23"/>
    <mergeCell ref="B22:B23"/>
    <mergeCell ref="C22:C23"/>
    <mergeCell ref="D22:D23"/>
    <mergeCell ref="E22:E23"/>
    <mergeCell ref="F24:F25"/>
    <mergeCell ref="G24:G25"/>
    <mergeCell ref="I24:I25"/>
    <mergeCell ref="J24:J25"/>
    <mergeCell ref="K24:K25"/>
    <mergeCell ref="L24:L25"/>
    <mergeCell ref="G22:G23"/>
    <mergeCell ref="I22:I23"/>
    <mergeCell ref="J22:J23"/>
    <mergeCell ref="K22:K23"/>
    <mergeCell ref="L22:L23"/>
    <mergeCell ref="F22:F23"/>
    <mergeCell ref="A199:B199"/>
    <mergeCell ref="K200:O200"/>
    <mergeCell ref="A14:A15"/>
    <mergeCell ref="B14:B15"/>
    <mergeCell ref="C14:C15"/>
    <mergeCell ref="D14:D15"/>
    <mergeCell ref="E14:E15"/>
    <mergeCell ref="F14:F15"/>
    <mergeCell ref="G14:G15"/>
    <mergeCell ref="I14:I15"/>
    <mergeCell ref="A198:L198"/>
    <mergeCell ref="G92:G93"/>
    <mergeCell ref="I92:I93"/>
    <mergeCell ref="J92:J93"/>
    <mergeCell ref="K92:K93"/>
    <mergeCell ref="L92:L93"/>
    <mergeCell ref="A92:A93"/>
    <mergeCell ref="B92:B93"/>
    <mergeCell ref="C92:C93"/>
    <mergeCell ref="D92:D93"/>
    <mergeCell ref="K16:K17"/>
    <mergeCell ref="L16:L17"/>
    <mergeCell ref="A18:A19"/>
    <mergeCell ref="B18:B19"/>
    <mergeCell ref="C18:C19"/>
    <mergeCell ref="D18:D19"/>
    <mergeCell ref="E18:E19"/>
    <mergeCell ref="F18:F19"/>
    <mergeCell ref="F20:F21"/>
    <mergeCell ref="G20:G21"/>
    <mergeCell ref="I20:I21"/>
    <mergeCell ref="J20:J21"/>
    <mergeCell ref="E92:E93"/>
    <mergeCell ref="F92:F93"/>
    <mergeCell ref="F88:F89"/>
    <mergeCell ref="G88:G89"/>
    <mergeCell ref="I84:I85"/>
    <mergeCell ref="J84:J85"/>
    <mergeCell ref="K84:K85"/>
    <mergeCell ref="L84:L85"/>
    <mergeCell ref="G82:G83"/>
    <mergeCell ref="I82:I83"/>
    <mergeCell ref="J82:J83"/>
    <mergeCell ref="K82:K83"/>
    <mergeCell ref="L82:L83"/>
    <mergeCell ref="E84:E85"/>
    <mergeCell ref="F90:F91"/>
    <mergeCell ref="G90:G91"/>
    <mergeCell ref="I90:I91"/>
    <mergeCell ref="J90:J91"/>
    <mergeCell ref="K90:K91"/>
    <mergeCell ref="L90:L91"/>
    <mergeCell ref="E82:E83"/>
    <mergeCell ref="F82:F83"/>
    <mergeCell ref="J50:J51"/>
    <mergeCell ref="A62:A63"/>
    <mergeCell ref="B62:B63"/>
    <mergeCell ref="C62:C63"/>
    <mergeCell ref="D62:D63"/>
    <mergeCell ref="E62:E63"/>
    <mergeCell ref="A60:A61"/>
    <mergeCell ref="B60:B61"/>
    <mergeCell ref="C60:C61"/>
    <mergeCell ref="D60:D61"/>
    <mergeCell ref="E60:E61"/>
    <mergeCell ref="F62:F63"/>
    <mergeCell ref="G62:G63"/>
    <mergeCell ref="A70:A71"/>
    <mergeCell ref="B70:B71"/>
    <mergeCell ref="C70:C71"/>
    <mergeCell ref="D70:D71"/>
    <mergeCell ref="E70:E71"/>
    <mergeCell ref="A68:A69"/>
    <mergeCell ref="B68:B69"/>
    <mergeCell ref="I62:I63"/>
    <mergeCell ref="J62:J63"/>
    <mergeCell ref="C68:C69"/>
    <mergeCell ref="D68:D69"/>
    <mergeCell ref="E68:E69"/>
    <mergeCell ref="F70:F71"/>
    <mergeCell ref="G70:G71"/>
    <mergeCell ref="I70:I71"/>
    <mergeCell ref="J70:J71"/>
    <mergeCell ref="A56:A57"/>
    <mergeCell ref="B56:B57"/>
    <mergeCell ref="C56:C57"/>
    <mergeCell ref="D56:D57"/>
    <mergeCell ref="E56:E57"/>
    <mergeCell ref="A48:A49"/>
    <mergeCell ref="B48:B49"/>
    <mergeCell ref="C48:C49"/>
    <mergeCell ref="D48:D49"/>
    <mergeCell ref="E48:E49"/>
    <mergeCell ref="F48:F49"/>
    <mergeCell ref="A52:A53"/>
    <mergeCell ref="B52:B53"/>
    <mergeCell ref="C52:C53"/>
    <mergeCell ref="D52:D53"/>
    <mergeCell ref="E52:E53"/>
    <mergeCell ref="A50:A51"/>
    <mergeCell ref="B50:B51"/>
    <mergeCell ref="C50:C51"/>
    <mergeCell ref="D50:D51"/>
    <mergeCell ref="E50:E51"/>
    <mergeCell ref="F52:F53"/>
    <mergeCell ref="E44:E45"/>
    <mergeCell ref="A12:A13"/>
    <mergeCell ref="B12:B13"/>
    <mergeCell ref="C12:C13"/>
    <mergeCell ref="D12:D13"/>
    <mergeCell ref="E12:E13"/>
    <mergeCell ref="F12:F13"/>
    <mergeCell ref="J14:J15"/>
    <mergeCell ref="K14:K15"/>
    <mergeCell ref="L14:L15"/>
    <mergeCell ref="A16:A17"/>
    <mergeCell ref="B16:B17"/>
    <mergeCell ref="C16:C17"/>
    <mergeCell ref="D16:D17"/>
    <mergeCell ref="E16:E17"/>
    <mergeCell ref="D20:D21"/>
    <mergeCell ref="E20:E21"/>
    <mergeCell ref="I16:I17"/>
    <mergeCell ref="J16:J17"/>
    <mergeCell ref="K20:K21"/>
    <mergeCell ref="L20:L21"/>
    <mergeCell ref="G18:G19"/>
    <mergeCell ref="I18:I19"/>
    <mergeCell ref="J18:J19"/>
    <mergeCell ref="K18:K19"/>
    <mergeCell ref="L18:L19"/>
    <mergeCell ref="F16:F17"/>
    <mergeCell ref="G16:G17"/>
    <mergeCell ref="A20:A21"/>
    <mergeCell ref="B20:B21"/>
    <mergeCell ref="C20:C21"/>
    <mergeCell ref="A24:A25"/>
    <mergeCell ref="A1:C1"/>
    <mergeCell ref="G1:O1"/>
    <mergeCell ref="A2:C2"/>
    <mergeCell ref="G2:O2"/>
    <mergeCell ref="A3:C3"/>
    <mergeCell ref="G4:O4"/>
    <mergeCell ref="K10:K11"/>
    <mergeCell ref="L10:L11"/>
    <mergeCell ref="M10:M11"/>
    <mergeCell ref="N10:N11"/>
    <mergeCell ref="O10:O11"/>
    <mergeCell ref="P10:P11"/>
    <mergeCell ref="A6:P6"/>
    <mergeCell ref="A7:P7"/>
    <mergeCell ref="A8:P8"/>
    <mergeCell ref="A10:A11"/>
    <mergeCell ref="B10:B11"/>
    <mergeCell ref="C10:C11"/>
    <mergeCell ref="D10:D11"/>
    <mergeCell ref="E10:E11"/>
    <mergeCell ref="F10:I10"/>
    <mergeCell ref="J10:J11"/>
    <mergeCell ref="L140:L141"/>
    <mergeCell ref="R106:R107"/>
    <mergeCell ref="R108:R109"/>
    <mergeCell ref="R110:R111"/>
    <mergeCell ref="R112:R113"/>
    <mergeCell ref="R114:R115"/>
    <mergeCell ref="R12:R13"/>
    <mergeCell ref="R88:R89"/>
    <mergeCell ref="R92:R93"/>
    <mergeCell ref="R94:R95"/>
    <mergeCell ref="R96:R97"/>
    <mergeCell ref="R98:R99"/>
    <mergeCell ref="R100:R101"/>
    <mergeCell ref="R102:R103"/>
    <mergeCell ref="R104:R105"/>
    <mergeCell ref="R44:R53"/>
    <mergeCell ref="G12:G13"/>
    <mergeCell ref="I12:I13"/>
    <mergeCell ref="J12:J13"/>
    <mergeCell ref="K12:K13"/>
    <mergeCell ref="L12:L13"/>
    <mergeCell ref="G48:G49"/>
    <mergeCell ref="I48:I49"/>
    <mergeCell ref="J48:J49"/>
    <mergeCell ref="K48:K49"/>
    <mergeCell ref="L48:L49"/>
    <mergeCell ref="G52:G53"/>
    <mergeCell ref="I52:I53"/>
    <mergeCell ref="J52:J53"/>
    <mergeCell ref="K52:K53"/>
    <mergeCell ref="L52:L53"/>
    <mergeCell ref="G50:G51"/>
    <mergeCell ref="K142:K143"/>
    <mergeCell ref="L142:L143"/>
    <mergeCell ref="A144:A145"/>
    <mergeCell ref="B144:B145"/>
    <mergeCell ref="C144:C145"/>
    <mergeCell ref="D144:D145"/>
    <mergeCell ref="E144:E145"/>
    <mergeCell ref="F144:F145"/>
    <mergeCell ref="G144:G145"/>
    <mergeCell ref="I144:I145"/>
    <mergeCell ref="J144:J145"/>
    <mergeCell ref="K144:K145"/>
    <mergeCell ref="L144:L145"/>
    <mergeCell ref="A142:A143"/>
    <mergeCell ref="B142:B143"/>
    <mergeCell ref="C142:C143"/>
    <mergeCell ref="D142:D143"/>
    <mergeCell ref="E142:E143"/>
    <mergeCell ref="F142:F143"/>
    <mergeCell ref="G142:G143"/>
    <mergeCell ref="I142:I143"/>
    <mergeCell ref="J142:J143"/>
    <mergeCell ref="K146:K147"/>
    <mergeCell ref="L146:L147"/>
    <mergeCell ref="A148:A149"/>
    <mergeCell ref="B148:B149"/>
    <mergeCell ref="C148:C149"/>
    <mergeCell ref="D148:D149"/>
    <mergeCell ref="E148:E149"/>
    <mergeCell ref="F148:F149"/>
    <mergeCell ref="G148:G149"/>
    <mergeCell ref="I148:I149"/>
    <mergeCell ref="J148:J149"/>
    <mergeCell ref="K148:K149"/>
    <mergeCell ref="L148:L149"/>
    <mergeCell ref="A146:A147"/>
    <mergeCell ref="B146:B147"/>
    <mergeCell ref="C146:C147"/>
    <mergeCell ref="D146:D147"/>
    <mergeCell ref="E146:E147"/>
    <mergeCell ref="F146:F147"/>
    <mergeCell ref="G146:G147"/>
    <mergeCell ref="I146:I147"/>
    <mergeCell ref="J146:J147"/>
    <mergeCell ref="K150:K151"/>
    <mergeCell ref="L150:L151"/>
    <mergeCell ref="A152:A153"/>
    <mergeCell ref="B152:B153"/>
    <mergeCell ref="C152:C153"/>
    <mergeCell ref="D152:D153"/>
    <mergeCell ref="E152:E153"/>
    <mergeCell ref="F152:F153"/>
    <mergeCell ref="G152:G153"/>
    <mergeCell ref="I152:I153"/>
    <mergeCell ref="J152:J153"/>
    <mergeCell ref="K152:K153"/>
    <mergeCell ref="L152:L153"/>
    <mergeCell ref="A150:A151"/>
    <mergeCell ref="B150:B151"/>
    <mergeCell ref="C150:C151"/>
    <mergeCell ref="D150:D151"/>
    <mergeCell ref="E150:E151"/>
    <mergeCell ref="F150:F151"/>
    <mergeCell ref="G150:G151"/>
    <mergeCell ref="I150:I151"/>
    <mergeCell ref="J150:J151"/>
    <mergeCell ref="K154:K155"/>
    <mergeCell ref="L154:L155"/>
    <mergeCell ref="A156:A157"/>
    <mergeCell ref="B156:B157"/>
    <mergeCell ref="C156:C157"/>
    <mergeCell ref="D156:D157"/>
    <mergeCell ref="E156:E157"/>
    <mergeCell ref="F156:F157"/>
    <mergeCell ref="G156:G157"/>
    <mergeCell ref="I156:I157"/>
    <mergeCell ref="J156:J157"/>
    <mergeCell ref="K156:K157"/>
    <mergeCell ref="L156:L157"/>
    <mergeCell ref="A154:A155"/>
    <mergeCell ref="B154:B155"/>
    <mergeCell ref="C154:C155"/>
    <mergeCell ref="D154:D155"/>
    <mergeCell ref="E154:E155"/>
    <mergeCell ref="F154:F155"/>
    <mergeCell ref="G154:G155"/>
    <mergeCell ref="I154:I155"/>
    <mergeCell ref="J154:J155"/>
    <mergeCell ref="K158:K159"/>
    <mergeCell ref="L158:L159"/>
    <mergeCell ref="A160:A161"/>
    <mergeCell ref="B160:B161"/>
    <mergeCell ref="C160:C161"/>
    <mergeCell ref="D160:D161"/>
    <mergeCell ref="E160:E161"/>
    <mergeCell ref="F160:F161"/>
    <mergeCell ref="G160:G161"/>
    <mergeCell ref="I160:I161"/>
    <mergeCell ref="J160:J161"/>
    <mergeCell ref="K160:K161"/>
    <mergeCell ref="L160:L161"/>
    <mergeCell ref="A158:A159"/>
    <mergeCell ref="B158:B159"/>
    <mergeCell ref="C158:C159"/>
    <mergeCell ref="D158:D159"/>
    <mergeCell ref="E158:E159"/>
    <mergeCell ref="F158:F159"/>
    <mergeCell ref="G158:G159"/>
    <mergeCell ref="I158:I159"/>
    <mergeCell ref="J158:J159"/>
    <mergeCell ref="K162:K163"/>
    <mergeCell ref="L162:L163"/>
    <mergeCell ref="A164:A165"/>
    <mergeCell ref="B164:B165"/>
    <mergeCell ref="C164:C165"/>
    <mergeCell ref="D164:D165"/>
    <mergeCell ref="E164:E165"/>
    <mergeCell ref="F164:F165"/>
    <mergeCell ref="G164:G165"/>
    <mergeCell ref="I164:I165"/>
    <mergeCell ref="J164:J165"/>
    <mergeCell ref="K164:K165"/>
    <mergeCell ref="L164:L165"/>
    <mergeCell ref="A162:A163"/>
    <mergeCell ref="B162:B163"/>
    <mergeCell ref="C162:C163"/>
    <mergeCell ref="D162:D163"/>
    <mergeCell ref="E162:E163"/>
    <mergeCell ref="F162:F163"/>
    <mergeCell ref="G162:G163"/>
    <mergeCell ref="I162:I163"/>
    <mergeCell ref="J162:J163"/>
    <mergeCell ref="K166:K167"/>
    <mergeCell ref="L166:L167"/>
    <mergeCell ref="A168:A169"/>
    <mergeCell ref="B168:B169"/>
    <mergeCell ref="C168:C169"/>
    <mergeCell ref="D168:D169"/>
    <mergeCell ref="E168:E169"/>
    <mergeCell ref="F168:F169"/>
    <mergeCell ref="G168:G169"/>
    <mergeCell ref="I168:I169"/>
    <mergeCell ref="J168:J169"/>
    <mergeCell ref="K168:K169"/>
    <mergeCell ref="L168:L169"/>
    <mergeCell ref="A166:A167"/>
    <mergeCell ref="B166:B167"/>
    <mergeCell ref="C166:C167"/>
    <mergeCell ref="D166:D167"/>
    <mergeCell ref="E166:E167"/>
    <mergeCell ref="F166:F167"/>
    <mergeCell ref="G166:G167"/>
    <mergeCell ref="I166:I167"/>
    <mergeCell ref="J166:J167"/>
    <mergeCell ref="K170:K171"/>
    <mergeCell ref="L170:L171"/>
    <mergeCell ref="A172:A173"/>
    <mergeCell ref="B172:B173"/>
    <mergeCell ref="C172:C173"/>
    <mergeCell ref="D172:D173"/>
    <mergeCell ref="E172:E173"/>
    <mergeCell ref="F172:F173"/>
    <mergeCell ref="G172:G173"/>
    <mergeCell ref="I172:I173"/>
    <mergeCell ref="J172:J173"/>
    <mergeCell ref="K172:K173"/>
    <mergeCell ref="L172:L173"/>
    <mergeCell ref="A170:A171"/>
    <mergeCell ref="B170:B171"/>
    <mergeCell ref="C170:C171"/>
    <mergeCell ref="D170:D171"/>
    <mergeCell ref="E170:E171"/>
    <mergeCell ref="F170:F171"/>
    <mergeCell ref="G170:G171"/>
    <mergeCell ref="I170:I171"/>
    <mergeCell ref="J170:J171"/>
    <mergeCell ref="K174:K175"/>
    <mergeCell ref="L174:L175"/>
    <mergeCell ref="A176:A177"/>
    <mergeCell ref="B176:B177"/>
    <mergeCell ref="C176:C177"/>
    <mergeCell ref="D176:D177"/>
    <mergeCell ref="E176:E177"/>
    <mergeCell ref="F176:F177"/>
    <mergeCell ref="G176:G177"/>
    <mergeCell ref="I176:I177"/>
    <mergeCell ref="J176:J177"/>
    <mergeCell ref="K176:K177"/>
    <mergeCell ref="L176:L177"/>
    <mergeCell ref="A174:A175"/>
    <mergeCell ref="B174:B175"/>
    <mergeCell ref="C174:C175"/>
    <mergeCell ref="D174:D175"/>
    <mergeCell ref="E174:E175"/>
    <mergeCell ref="F174:F175"/>
    <mergeCell ref="G174:G175"/>
    <mergeCell ref="I174:I175"/>
    <mergeCell ref="J174:J175"/>
    <mergeCell ref="K178:K179"/>
    <mergeCell ref="L178:L179"/>
    <mergeCell ref="A180:A181"/>
    <mergeCell ref="B180:B181"/>
    <mergeCell ref="C180:C181"/>
    <mergeCell ref="D180:D181"/>
    <mergeCell ref="E180:E181"/>
    <mergeCell ref="F180:F181"/>
    <mergeCell ref="G180:G181"/>
    <mergeCell ref="I180:I181"/>
    <mergeCell ref="J180:J181"/>
    <mergeCell ref="K180:K181"/>
    <mergeCell ref="L180:L181"/>
    <mergeCell ref="A178:A179"/>
    <mergeCell ref="B178:B179"/>
    <mergeCell ref="C178:C179"/>
    <mergeCell ref="D178:D179"/>
    <mergeCell ref="E178:E179"/>
    <mergeCell ref="F178:F179"/>
    <mergeCell ref="G178:G179"/>
    <mergeCell ref="I178:I179"/>
    <mergeCell ref="J178:J179"/>
    <mergeCell ref="K182:K183"/>
    <mergeCell ref="L182:L183"/>
    <mergeCell ref="A184:A185"/>
    <mergeCell ref="B184:B185"/>
    <mergeCell ref="C184:C185"/>
    <mergeCell ref="D184:D185"/>
    <mergeCell ref="E184:E185"/>
    <mergeCell ref="F184:F185"/>
    <mergeCell ref="G184:G185"/>
    <mergeCell ref="I184:I185"/>
    <mergeCell ref="J184:J185"/>
    <mergeCell ref="K184:K185"/>
    <mergeCell ref="L184:L185"/>
    <mergeCell ref="A182:A183"/>
    <mergeCell ref="B182:B183"/>
    <mergeCell ref="C182:C183"/>
    <mergeCell ref="D182:D183"/>
    <mergeCell ref="E182:E183"/>
    <mergeCell ref="F182:F183"/>
    <mergeCell ref="G182:G183"/>
    <mergeCell ref="I182:I183"/>
    <mergeCell ref="J182:J183"/>
    <mergeCell ref="J190:J191"/>
    <mergeCell ref="K186:K187"/>
    <mergeCell ref="L186:L187"/>
    <mergeCell ref="A188:A189"/>
    <mergeCell ref="B188:B189"/>
    <mergeCell ref="C188:C189"/>
    <mergeCell ref="D188:D189"/>
    <mergeCell ref="E188:E189"/>
    <mergeCell ref="F188:F189"/>
    <mergeCell ref="G188:G189"/>
    <mergeCell ref="I188:I189"/>
    <mergeCell ref="J188:J189"/>
    <mergeCell ref="K188:K189"/>
    <mergeCell ref="L188:L189"/>
    <mergeCell ref="A186:A187"/>
    <mergeCell ref="B186:B187"/>
    <mergeCell ref="C186:C187"/>
    <mergeCell ref="D186:D187"/>
    <mergeCell ref="E186:E187"/>
    <mergeCell ref="F186:F187"/>
    <mergeCell ref="G186:G187"/>
    <mergeCell ref="I186:I187"/>
    <mergeCell ref="J186:J187"/>
    <mergeCell ref="K194:K195"/>
    <mergeCell ref="L194:L195"/>
    <mergeCell ref="A194:A195"/>
    <mergeCell ref="B194:B195"/>
    <mergeCell ref="C194:C195"/>
    <mergeCell ref="D194:D195"/>
    <mergeCell ref="E194:E195"/>
    <mergeCell ref="F194:F195"/>
    <mergeCell ref="G194:G195"/>
    <mergeCell ref="I194:I195"/>
    <mergeCell ref="J194:J195"/>
    <mergeCell ref="K190:K191"/>
    <mergeCell ref="L190:L191"/>
    <mergeCell ref="A192:A193"/>
    <mergeCell ref="B192:B193"/>
    <mergeCell ref="C192:C193"/>
    <mergeCell ref="D192:D193"/>
    <mergeCell ref="E192:E193"/>
    <mergeCell ref="F192:F193"/>
    <mergeCell ref="G192:G193"/>
    <mergeCell ref="I192:I193"/>
    <mergeCell ref="J192:J193"/>
    <mergeCell ref="K192:K193"/>
    <mergeCell ref="L192:L193"/>
    <mergeCell ref="A190:A191"/>
    <mergeCell ref="B190:B191"/>
    <mergeCell ref="C190:C191"/>
    <mergeCell ref="D190:D191"/>
    <mergeCell ref="E190:E191"/>
    <mergeCell ref="F190:F191"/>
    <mergeCell ref="G190:G191"/>
    <mergeCell ref="I190:I191"/>
  </mergeCells>
  <printOptions horizontalCentered="1"/>
  <pageMargins left="0.5" right="0" top="0.5" bottom="0.4" header="0.25" footer="0.15"/>
  <pageSetup paperSize="9" scale="7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E622"/>
  <sheetViews>
    <sheetView zoomScale="85" zoomScaleNormal="85" zoomScaleSheetLayoutView="115" workbookViewId="0">
      <selection activeCell="H5" sqref="H5"/>
    </sheetView>
  </sheetViews>
  <sheetFormatPr defaultColWidth="8.625" defaultRowHeight="15.75" x14ac:dyDescent="0.25"/>
  <cols>
    <col min="1" max="1" width="4.875" style="48" customWidth="1"/>
    <col min="2" max="2" width="7.375" style="48" customWidth="1"/>
    <col min="3" max="3" width="22.25" style="194" customWidth="1"/>
    <col min="4" max="4" width="5.875" style="109" customWidth="1"/>
    <col min="5" max="5" width="14.25" style="109" customWidth="1"/>
    <col min="6" max="6" width="29.125" style="192" customWidth="1"/>
    <col min="7" max="7" width="7.375" style="48" customWidth="1"/>
    <col min="8" max="9" width="5.375" style="109" customWidth="1"/>
    <col min="10" max="10" width="5.375" style="48" hidden="1" customWidth="1"/>
    <col min="11" max="11" width="8.625" style="109" customWidth="1"/>
    <col min="12" max="12" width="3.625" style="48" hidden="1" customWidth="1"/>
    <col min="13" max="13" width="3.875" style="48" hidden="1" customWidth="1"/>
    <col min="14" max="14" width="4.375" style="109" customWidth="1"/>
    <col min="15" max="15" width="3.875" style="109" customWidth="1"/>
    <col min="16" max="16" width="9.125" style="109" customWidth="1"/>
    <col min="17" max="17" width="12.375" style="110" customWidth="1"/>
    <col min="18" max="18" width="9.5" style="109" customWidth="1"/>
    <col min="19" max="19" width="9.375" style="109" customWidth="1"/>
    <col min="20" max="24" width="2.375" style="48" customWidth="1"/>
    <col min="25" max="25" width="6.625" style="48" customWidth="1"/>
    <col min="26" max="29" width="15.25" style="48" customWidth="1"/>
    <col min="30" max="30" width="14.375" style="48" customWidth="1"/>
    <col min="31" max="16384" width="8.625" style="48"/>
  </cols>
  <sheetData>
    <row r="1" spans="1:31" s="108" customFormat="1" ht="16.5" x14ac:dyDescent="0.3">
      <c r="A1" s="380" t="s">
        <v>107</v>
      </c>
      <c r="B1" s="380"/>
      <c r="C1" s="380"/>
      <c r="D1" s="380"/>
      <c r="E1" s="380"/>
      <c r="F1" s="187"/>
      <c r="G1" s="19"/>
      <c r="H1" s="97"/>
      <c r="I1" s="97"/>
      <c r="J1" s="381" t="s">
        <v>12</v>
      </c>
      <c r="K1" s="381"/>
      <c r="L1" s="381"/>
      <c r="M1" s="381"/>
      <c r="N1" s="381"/>
      <c r="O1" s="381"/>
      <c r="P1" s="381"/>
      <c r="Q1" s="381"/>
      <c r="R1" s="381"/>
      <c r="S1" s="381"/>
      <c r="Z1" s="19"/>
      <c r="AA1" s="19"/>
      <c r="AB1" s="19"/>
      <c r="AC1" s="19"/>
      <c r="AD1" s="19"/>
      <c r="AE1" s="19"/>
    </row>
    <row r="2" spans="1:31" s="108" customFormat="1" ht="16.5" x14ac:dyDescent="0.25">
      <c r="A2" s="583" t="s">
        <v>108</v>
      </c>
      <c r="B2" s="583"/>
      <c r="C2" s="583"/>
      <c r="D2" s="583"/>
      <c r="E2" s="583"/>
      <c r="F2" s="187"/>
      <c r="G2" s="20"/>
      <c r="H2" s="98"/>
      <c r="I2" s="98"/>
      <c r="J2" s="381" t="s">
        <v>25</v>
      </c>
      <c r="K2" s="381"/>
      <c r="L2" s="381"/>
      <c r="M2" s="381"/>
      <c r="N2" s="381"/>
      <c r="O2" s="381"/>
      <c r="P2" s="381"/>
      <c r="Q2" s="381"/>
      <c r="R2" s="381"/>
      <c r="S2" s="381"/>
      <c r="Z2" s="20"/>
      <c r="AA2" s="20"/>
      <c r="AB2" s="20"/>
      <c r="AC2" s="20"/>
      <c r="AD2" s="20"/>
      <c r="AE2" s="20"/>
    </row>
    <row r="3" spans="1:31" ht="16.5" x14ac:dyDescent="0.25">
      <c r="A3" s="379" t="s">
        <v>0</v>
      </c>
      <c r="B3" s="379"/>
      <c r="C3" s="379"/>
      <c r="D3" s="379"/>
      <c r="E3" s="379"/>
      <c r="F3" s="188"/>
      <c r="G3" s="3"/>
    </row>
    <row r="4" spans="1:31" ht="16.5" x14ac:dyDescent="0.25">
      <c r="A4" s="379" t="s">
        <v>199</v>
      </c>
      <c r="B4" s="379"/>
      <c r="C4" s="379"/>
      <c r="D4" s="379"/>
      <c r="E4" s="379"/>
      <c r="F4" s="188"/>
      <c r="G4" s="3"/>
      <c r="J4" s="584" t="s">
        <v>266</v>
      </c>
      <c r="K4" s="584"/>
      <c r="L4" s="584"/>
      <c r="M4" s="584"/>
      <c r="N4" s="584"/>
      <c r="O4" s="584"/>
      <c r="P4" s="584"/>
      <c r="Q4" s="584"/>
      <c r="R4" s="584"/>
      <c r="S4" s="584"/>
    </row>
    <row r="5" spans="1:31" ht="16.5" x14ac:dyDescent="0.25">
      <c r="A5" s="379"/>
      <c r="B5" s="379"/>
      <c r="C5" s="379"/>
      <c r="D5" s="379"/>
      <c r="E5" s="97"/>
      <c r="F5" s="189"/>
      <c r="G5" s="96"/>
      <c r="H5" s="97"/>
      <c r="I5" s="97"/>
      <c r="J5" s="96"/>
      <c r="K5" s="97"/>
      <c r="L5" s="96"/>
    </row>
    <row r="6" spans="1:31" ht="20.25" x14ac:dyDescent="0.3">
      <c r="A6" s="379" t="s">
        <v>1</v>
      </c>
      <c r="B6" s="379"/>
      <c r="C6" s="379"/>
      <c r="D6" s="379"/>
      <c r="E6" s="379"/>
      <c r="F6" s="379"/>
      <c r="G6" s="379"/>
      <c r="H6" s="379"/>
      <c r="I6" s="379"/>
      <c r="J6" s="379"/>
      <c r="K6" s="379"/>
      <c r="L6" s="379"/>
      <c r="M6" s="379"/>
      <c r="N6" s="379"/>
      <c r="O6" s="379"/>
      <c r="P6" s="379"/>
      <c r="Q6" s="379"/>
      <c r="R6" s="379"/>
      <c r="S6" s="379"/>
      <c r="T6" s="4"/>
      <c r="U6" s="4"/>
      <c r="V6" s="4"/>
      <c r="W6" s="4"/>
      <c r="X6" s="4"/>
      <c r="Y6" s="4"/>
      <c r="Z6" s="4"/>
      <c r="AA6" s="4"/>
      <c r="AB6" s="4"/>
      <c r="AC6" s="4"/>
      <c r="AD6" s="4"/>
      <c r="AE6" s="4"/>
    </row>
    <row r="7" spans="1:31" ht="20.25" x14ac:dyDescent="0.3">
      <c r="A7" s="379" t="s">
        <v>110</v>
      </c>
      <c r="B7" s="379"/>
      <c r="C7" s="379"/>
      <c r="D7" s="379"/>
      <c r="E7" s="379"/>
      <c r="F7" s="379"/>
      <c r="G7" s="379"/>
      <c r="H7" s="379"/>
      <c r="I7" s="379"/>
      <c r="J7" s="379"/>
      <c r="K7" s="379"/>
      <c r="L7" s="379"/>
      <c r="M7" s="379"/>
      <c r="N7" s="379"/>
      <c r="O7" s="379"/>
      <c r="P7" s="379"/>
      <c r="Q7" s="379"/>
      <c r="R7" s="379"/>
      <c r="S7" s="379"/>
      <c r="T7" s="4"/>
      <c r="U7" s="113" t="s">
        <v>227</v>
      </c>
      <c r="V7" s="4"/>
      <c r="W7" s="4"/>
      <c r="X7" s="4"/>
      <c r="Y7" s="4"/>
      <c r="Z7" s="4"/>
      <c r="AA7" s="4"/>
      <c r="AB7" s="4"/>
      <c r="AC7" s="4"/>
      <c r="AD7" s="4"/>
      <c r="AE7" s="4"/>
    </row>
    <row r="8" spans="1:31" ht="20.25" x14ac:dyDescent="0.3">
      <c r="A8" s="96">
        <v>1</v>
      </c>
      <c r="B8" s="96">
        <v>2</v>
      </c>
      <c r="C8" s="351">
        <v>3</v>
      </c>
      <c r="D8" s="351">
        <v>4</v>
      </c>
      <c r="E8" s="351">
        <v>5</v>
      </c>
      <c r="F8" s="351">
        <v>6</v>
      </c>
      <c r="G8" s="351">
        <v>7</v>
      </c>
      <c r="H8" s="351">
        <v>8</v>
      </c>
      <c r="I8" s="351">
        <v>9</v>
      </c>
      <c r="J8" s="351">
        <v>10</v>
      </c>
      <c r="K8" s="351">
        <v>11</v>
      </c>
      <c r="L8" s="351">
        <v>12</v>
      </c>
      <c r="M8" s="351">
        <v>13</v>
      </c>
      <c r="N8" s="351">
        <v>14</v>
      </c>
      <c r="O8" s="351">
        <v>15</v>
      </c>
      <c r="P8" s="351">
        <v>16</v>
      </c>
      <c r="Q8" s="351">
        <v>17</v>
      </c>
      <c r="R8" s="351">
        <v>18</v>
      </c>
      <c r="S8" s="351">
        <v>19</v>
      </c>
      <c r="T8" s="4"/>
      <c r="U8" s="4"/>
      <c r="V8" s="4"/>
      <c r="W8" s="4"/>
      <c r="X8" s="4"/>
      <c r="Y8" s="4"/>
      <c r="Z8" s="4"/>
      <c r="AA8" s="4"/>
      <c r="AB8" s="4"/>
      <c r="AC8" s="4"/>
      <c r="AD8" s="4"/>
      <c r="AE8" s="4"/>
    </row>
    <row r="9" spans="1:31" ht="20.25" x14ac:dyDescent="0.3">
      <c r="A9" s="563" t="s">
        <v>2</v>
      </c>
      <c r="B9" s="585" t="s">
        <v>68</v>
      </c>
      <c r="C9" s="563" t="s">
        <v>63</v>
      </c>
      <c r="D9" s="563" t="s">
        <v>4</v>
      </c>
      <c r="E9" s="563" t="s">
        <v>91</v>
      </c>
      <c r="F9" s="564" t="s">
        <v>6</v>
      </c>
      <c r="G9" s="565"/>
      <c r="H9" s="565"/>
      <c r="I9" s="565"/>
      <c r="J9" s="565"/>
      <c r="K9" s="565"/>
      <c r="L9" s="565"/>
      <c r="M9" s="565"/>
      <c r="N9" s="565"/>
      <c r="O9" s="565"/>
      <c r="P9" s="566"/>
      <c r="Q9" s="567" t="s">
        <v>118</v>
      </c>
      <c r="R9" s="568"/>
      <c r="S9" s="560" t="s">
        <v>105</v>
      </c>
      <c r="T9" s="102"/>
      <c r="U9" s="102"/>
      <c r="V9" s="102"/>
      <c r="W9" s="102"/>
      <c r="X9" s="102"/>
      <c r="Y9" s="102"/>
      <c r="Z9" s="102"/>
      <c r="AA9" s="102"/>
      <c r="AB9" s="102"/>
      <c r="AC9" s="102"/>
      <c r="AD9" s="102"/>
      <c r="AE9" s="102"/>
    </row>
    <row r="10" spans="1:31" x14ac:dyDescent="0.25">
      <c r="A10" s="563"/>
      <c r="B10" s="586"/>
      <c r="C10" s="563"/>
      <c r="D10" s="563"/>
      <c r="E10" s="563"/>
      <c r="F10" s="563" t="s">
        <v>7</v>
      </c>
      <c r="G10" s="563" t="s">
        <v>13</v>
      </c>
      <c r="H10" s="563" t="s">
        <v>72</v>
      </c>
      <c r="I10" s="563" t="s">
        <v>8</v>
      </c>
      <c r="J10" s="567" t="s">
        <v>9</v>
      </c>
      <c r="K10" s="571"/>
      <c r="L10" s="571"/>
      <c r="M10" s="568"/>
      <c r="N10" s="563" t="s">
        <v>10</v>
      </c>
      <c r="O10" s="563"/>
      <c r="P10" s="563" t="s">
        <v>103</v>
      </c>
      <c r="Q10" s="569"/>
      <c r="R10" s="570"/>
      <c r="S10" s="561"/>
      <c r="T10" s="6"/>
      <c r="U10" s="6"/>
      <c r="V10" s="6"/>
      <c r="W10" s="6"/>
      <c r="X10" s="6"/>
      <c r="Y10" s="6"/>
      <c r="Z10" s="6"/>
      <c r="AA10" s="6"/>
      <c r="AB10" s="6"/>
      <c r="AC10" s="6"/>
      <c r="AD10" s="6"/>
    </row>
    <row r="11" spans="1:31" x14ac:dyDescent="0.25">
      <c r="A11" s="563"/>
      <c r="B11" s="586"/>
      <c r="C11" s="563"/>
      <c r="D11" s="563"/>
      <c r="E11" s="563"/>
      <c r="F11" s="563"/>
      <c r="G11" s="563"/>
      <c r="H11" s="563"/>
      <c r="I11" s="563"/>
      <c r="J11" s="569"/>
      <c r="K11" s="572"/>
      <c r="L11" s="572"/>
      <c r="M11" s="570"/>
      <c r="N11" s="563"/>
      <c r="O11" s="563"/>
      <c r="P11" s="563"/>
      <c r="Q11" s="569"/>
      <c r="R11" s="570"/>
      <c r="S11" s="561"/>
      <c r="T11" s="6"/>
      <c r="U11" s="6"/>
      <c r="V11" s="6"/>
      <c r="W11" s="6"/>
      <c r="X11" s="6"/>
      <c r="Y11" s="6"/>
      <c r="Z11" s="6"/>
      <c r="AA11" s="6"/>
      <c r="AB11" s="6"/>
      <c r="AC11" s="6"/>
      <c r="AD11" s="6"/>
    </row>
    <row r="12" spans="1:31" ht="31.5" x14ac:dyDescent="0.25">
      <c r="A12" s="563"/>
      <c r="B12" s="587"/>
      <c r="C12" s="563"/>
      <c r="D12" s="563"/>
      <c r="E12" s="563"/>
      <c r="F12" s="563"/>
      <c r="G12" s="563"/>
      <c r="H12" s="563"/>
      <c r="I12" s="563"/>
      <c r="J12" s="573"/>
      <c r="K12" s="574"/>
      <c r="L12" s="574"/>
      <c r="M12" s="575"/>
      <c r="N12" s="99">
        <v>1</v>
      </c>
      <c r="O12" s="99">
        <v>2</v>
      </c>
      <c r="P12" s="563"/>
      <c r="Q12" s="99" t="s">
        <v>119</v>
      </c>
      <c r="R12" s="99" t="s">
        <v>46</v>
      </c>
      <c r="S12" s="562"/>
      <c r="T12" s="7"/>
      <c r="U12" s="7"/>
      <c r="V12" s="7"/>
      <c r="W12" s="7"/>
      <c r="X12" s="7"/>
      <c r="Y12" s="6"/>
      <c r="Z12" s="559"/>
      <c r="AA12" s="559"/>
      <c r="AB12" s="559"/>
      <c r="AC12" s="559"/>
      <c r="AD12" s="15"/>
    </row>
    <row r="13" spans="1:31" x14ac:dyDescent="0.25">
      <c r="A13" s="13" t="s">
        <v>29</v>
      </c>
      <c r="B13" s="13" t="s">
        <v>30</v>
      </c>
      <c r="C13" s="112" t="s">
        <v>31</v>
      </c>
      <c r="D13" s="13" t="s">
        <v>32</v>
      </c>
      <c r="E13" s="13" t="s">
        <v>33</v>
      </c>
      <c r="F13" s="13" t="s">
        <v>34</v>
      </c>
      <c r="G13" s="13" t="s">
        <v>35</v>
      </c>
      <c r="H13" s="13" t="s">
        <v>36</v>
      </c>
      <c r="I13" s="13" t="s">
        <v>37</v>
      </c>
      <c r="J13" s="578" t="s">
        <v>38</v>
      </c>
      <c r="K13" s="565"/>
      <c r="L13" s="565"/>
      <c r="M13" s="566"/>
      <c r="N13" s="579" t="s">
        <v>39</v>
      </c>
      <c r="O13" s="580"/>
      <c r="P13" s="13" t="s">
        <v>40</v>
      </c>
      <c r="Q13" s="13" t="s">
        <v>41</v>
      </c>
      <c r="R13" s="74" t="s">
        <v>92</v>
      </c>
      <c r="S13" s="13" t="s">
        <v>112</v>
      </c>
      <c r="T13" s="7"/>
      <c r="U13" s="7"/>
      <c r="V13" s="7"/>
      <c r="W13" s="7"/>
      <c r="X13" s="7"/>
      <c r="Y13" s="6"/>
      <c r="Z13" s="7"/>
      <c r="AA13" s="7"/>
      <c r="AB13" s="7"/>
      <c r="AC13" s="7"/>
      <c r="AD13" s="15"/>
    </row>
    <row r="14" spans="1:31" x14ac:dyDescent="0.25">
      <c r="A14" s="275"/>
      <c r="B14" s="275"/>
      <c r="C14" s="276"/>
      <c r="D14" s="275"/>
      <c r="E14" s="275"/>
      <c r="F14" s="275"/>
      <c r="G14" s="275"/>
      <c r="H14" s="275"/>
      <c r="I14" s="275"/>
      <c r="J14" s="277"/>
      <c r="K14" s="278"/>
      <c r="L14" s="278"/>
      <c r="M14" s="278"/>
      <c r="N14" s="275"/>
      <c r="O14" s="279"/>
      <c r="P14" s="275"/>
      <c r="Q14" s="275"/>
      <c r="R14" s="277"/>
      <c r="S14" s="275"/>
      <c r="T14" s="255"/>
      <c r="U14" s="255"/>
      <c r="V14" s="255"/>
      <c r="W14" s="255"/>
      <c r="X14" s="255"/>
      <c r="Y14" s="6"/>
      <c r="Z14" s="255"/>
      <c r="AA14" s="255"/>
      <c r="AB14" s="255"/>
      <c r="AC14" s="255"/>
      <c r="AD14" s="15"/>
    </row>
    <row r="15" spans="1:31" x14ac:dyDescent="0.25">
      <c r="A15" s="533">
        <v>1</v>
      </c>
      <c r="B15" s="533">
        <v>11381</v>
      </c>
      <c r="C15" s="536" t="s">
        <v>195</v>
      </c>
      <c r="D15" s="533">
        <v>1987</v>
      </c>
      <c r="E15" s="533" t="s">
        <v>309</v>
      </c>
      <c r="F15" s="369" t="s">
        <v>229</v>
      </c>
      <c r="G15" s="369">
        <v>864001</v>
      </c>
      <c r="H15" s="369">
        <v>3</v>
      </c>
      <c r="I15" s="369"/>
      <c r="J15" s="370"/>
      <c r="K15" s="371">
        <v>2</v>
      </c>
      <c r="L15" s="371"/>
      <c r="M15" s="371"/>
      <c r="N15" s="369">
        <v>1</v>
      </c>
      <c r="O15" s="372">
        <v>1</v>
      </c>
      <c r="P15" s="369">
        <v>90</v>
      </c>
      <c r="Q15" s="369"/>
      <c r="R15" s="370"/>
      <c r="S15" s="539">
        <v>450</v>
      </c>
      <c r="T15" s="368"/>
      <c r="U15" s="368"/>
      <c r="V15" s="368"/>
      <c r="W15" s="368"/>
      <c r="X15" s="368"/>
      <c r="Y15" s="6"/>
      <c r="Z15" s="368"/>
      <c r="AA15" s="368"/>
      <c r="AB15" s="368"/>
      <c r="AC15" s="368"/>
      <c r="AD15" s="15"/>
    </row>
    <row r="16" spans="1:31" x14ac:dyDescent="0.25">
      <c r="A16" s="534"/>
      <c r="B16" s="534"/>
      <c r="C16" s="537"/>
      <c r="D16" s="534"/>
      <c r="E16" s="534"/>
      <c r="F16" s="373" t="s">
        <v>137</v>
      </c>
      <c r="G16" s="373">
        <v>848304</v>
      </c>
      <c r="H16" s="373">
        <v>3</v>
      </c>
      <c r="I16" s="373">
        <v>45</v>
      </c>
      <c r="J16" s="374"/>
      <c r="K16" s="375">
        <v>1</v>
      </c>
      <c r="L16" s="375"/>
      <c r="M16" s="375"/>
      <c r="N16" s="373"/>
      <c r="O16" s="376">
        <v>1</v>
      </c>
      <c r="P16" s="373">
        <v>45</v>
      </c>
      <c r="Q16" s="373"/>
      <c r="R16" s="374"/>
      <c r="S16" s="540"/>
      <c r="T16" s="368"/>
      <c r="U16" s="368"/>
      <c r="V16" s="368"/>
      <c r="W16" s="368"/>
      <c r="X16" s="368"/>
      <c r="Y16" s="6"/>
      <c r="Z16" s="368"/>
      <c r="AA16" s="368"/>
      <c r="AB16" s="368"/>
      <c r="AC16" s="368"/>
      <c r="AD16" s="15"/>
    </row>
    <row r="17" spans="1:30" x14ac:dyDescent="0.25">
      <c r="A17" s="534"/>
      <c r="B17" s="534"/>
      <c r="C17" s="537"/>
      <c r="D17" s="534"/>
      <c r="E17" s="534"/>
      <c r="F17" s="373" t="s">
        <v>324</v>
      </c>
      <c r="G17" s="373">
        <v>841405</v>
      </c>
      <c r="H17" s="373">
        <v>3</v>
      </c>
      <c r="I17" s="373">
        <v>45</v>
      </c>
      <c r="J17" s="374"/>
      <c r="K17" s="375">
        <v>2</v>
      </c>
      <c r="L17" s="375"/>
      <c r="M17" s="375"/>
      <c r="N17" s="373"/>
      <c r="O17" s="376">
        <v>2</v>
      </c>
      <c r="P17" s="373">
        <v>90</v>
      </c>
      <c r="Q17" s="373"/>
      <c r="R17" s="374"/>
      <c r="S17" s="540"/>
      <c r="T17" s="368"/>
      <c r="U17" s="368"/>
      <c r="V17" s="368"/>
      <c r="W17" s="368"/>
      <c r="X17" s="368"/>
      <c r="Y17" s="6"/>
      <c r="Z17" s="368"/>
      <c r="AA17" s="368"/>
      <c r="AB17" s="368"/>
      <c r="AC17" s="368"/>
      <c r="AD17" s="15"/>
    </row>
    <row r="18" spans="1:30" x14ac:dyDescent="0.25">
      <c r="A18" s="534"/>
      <c r="B18" s="534"/>
      <c r="C18" s="537"/>
      <c r="D18" s="534"/>
      <c r="E18" s="534"/>
      <c r="F18" s="373" t="s">
        <v>233</v>
      </c>
      <c r="G18" s="373">
        <v>841401</v>
      </c>
      <c r="H18" s="373">
        <v>3</v>
      </c>
      <c r="I18" s="373">
        <v>45</v>
      </c>
      <c r="J18" s="374"/>
      <c r="K18" s="375">
        <v>2</v>
      </c>
      <c r="L18" s="375"/>
      <c r="M18" s="375"/>
      <c r="N18" s="373">
        <v>2</v>
      </c>
      <c r="O18" s="376"/>
      <c r="P18" s="373">
        <v>90</v>
      </c>
      <c r="Q18" s="373"/>
      <c r="R18" s="374"/>
      <c r="S18" s="540"/>
      <c r="T18" s="368"/>
      <c r="U18" s="368"/>
      <c r="V18" s="368"/>
      <c r="W18" s="368"/>
      <c r="X18" s="368"/>
      <c r="Y18" s="6"/>
      <c r="Z18" s="368"/>
      <c r="AA18" s="368"/>
      <c r="AB18" s="368"/>
      <c r="AC18" s="368"/>
      <c r="AD18" s="15"/>
    </row>
    <row r="19" spans="1:30" x14ac:dyDescent="0.25">
      <c r="A19" s="534"/>
      <c r="B19" s="534"/>
      <c r="C19" s="537"/>
      <c r="D19" s="534"/>
      <c r="E19" s="534"/>
      <c r="F19" s="373" t="s">
        <v>271</v>
      </c>
      <c r="G19" s="373">
        <v>801405</v>
      </c>
      <c r="H19" s="373">
        <v>2</v>
      </c>
      <c r="I19" s="373">
        <v>30</v>
      </c>
      <c r="J19" s="374"/>
      <c r="K19" s="375">
        <v>1</v>
      </c>
      <c r="L19" s="375"/>
      <c r="M19" s="375"/>
      <c r="N19" s="373">
        <v>1</v>
      </c>
      <c r="O19" s="376"/>
      <c r="P19" s="373">
        <v>30</v>
      </c>
      <c r="Q19" s="373"/>
      <c r="R19" s="374"/>
      <c r="S19" s="540"/>
      <c r="T19" s="368"/>
      <c r="U19" s="368"/>
      <c r="V19" s="368"/>
      <c r="W19" s="368"/>
      <c r="X19" s="368"/>
      <c r="Y19" s="6"/>
      <c r="Z19" s="368"/>
      <c r="AA19" s="368"/>
      <c r="AB19" s="368"/>
      <c r="AC19" s="368"/>
      <c r="AD19" s="15"/>
    </row>
    <row r="20" spans="1:30" x14ac:dyDescent="0.25">
      <c r="A20" s="534"/>
      <c r="B20" s="534"/>
      <c r="C20" s="537"/>
      <c r="D20" s="534"/>
      <c r="E20" s="534"/>
      <c r="F20" s="373" t="s">
        <v>120</v>
      </c>
      <c r="G20" s="373">
        <v>801083</v>
      </c>
      <c r="H20" s="373">
        <v>3</v>
      </c>
      <c r="I20" s="373">
        <v>45</v>
      </c>
      <c r="J20" s="374"/>
      <c r="K20" s="375">
        <v>1</v>
      </c>
      <c r="L20" s="375"/>
      <c r="M20" s="375"/>
      <c r="N20" s="373">
        <v>1</v>
      </c>
      <c r="O20" s="376"/>
      <c r="P20" s="373">
        <v>45</v>
      </c>
      <c r="Q20" s="373"/>
      <c r="R20" s="374"/>
      <c r="S20" s="540"/>
      <c r="T20" s="368"/>
      <c r="U20" s="368"/>
      <c r="V20" s="368"/>
      <c r="W20" s="368"/>
      <c r="X20" s="368"/>
      <c r="Y20" s="6"/>
      <c r="Z20" s="368"/>
      <c r="AA20" s="368"/>
      <c r="AB20" s="368"/>
      <c r="AC20" s="368"/>
      <c r="AD20" s="15"/>
    </row>
    <row r="21" spans="1:30" x14ac:dyDescent="0.25">
      <c r="A21" s="534"/>
      <c r="B21" s="534"/>
      <c r="C21" s="537"/>
      <c r="D21" s="534"/>
      <c r="E21" s="534"/>
      <c r="F21" s="373" t="s">
        <v>123</v>
      </c>
      <c r="G21" s="373">
        <v>801047</v>
      </c>
      <c r="H21" s="373">
        <v>4</v>
      </c>
      <c r="I21" s="373">
        <v>60</v>
      </c>
      <c r="J21" s="374"/>
      <c r="K21" s="375">
        <v>1</v>
      </c>
      <c r="L21" s="375"/>
      <c r="M21" s="375"/>
      <c r="N21" s="373">
        <v>1</v>
      </c>
      <c r="O21" s="376"/>
      <c r="P21" s="373">
        <v>60</v>
      </c>
      <c r="Q21" s="373"/>
      <c r="R21" s="374"/>
      <c r="S21" s="540"/>
      <c r="T21" s="368"/>
      <c r="U21" s="368"/>
      <c r="V21" s="368"/>
      <c r="W21" s="368"/>
      <c r="X21" s="368"/>
      <c r="Y21" s="6"/>
      <c r="Z21" s="368"/>
      <c r="AA21" s="368"/>
      <c r="AB21" s="368"/>
      <c r="AC21" s="368"/>
      <c r="AD21" s="15"/>
    </row>
    <row r="22" spans="1:30" x14ac:dyDescent="0.25">
      <c r="A22" s="535"/>
      <c r="B22" s="535"/>
      <c r="C22" s="538"/>
      <c r="D22" s="535"/>
      <c r="E22" s="535"/>
      <c r="F22" s="542" t="s">
        <v>227</v>
      </c>
      <c r="G22" s="543"/>
      <c r="H22" s="543"/>
      <c r="I22" s="543"/>
      <c r="J22" s="543"/>
      <c r="K22" s="543"/>
      <c r="L22" s="543"/>
      <c r="M22" s="543"/>
      <c r="N22" s="543"/>
      <c r="O22" s="544"/>
      <c r="P22" s="377">
        <f>SUM(P15:P21)</f>
        <v>450</v>
      </c>
      <c r="Q22" s="377" t="s">
        <v>227</v>
      </c>
      <c r="R22" s="378">
        <v>0</v>
      </c>
      <c r="S22" s="541"/>
      <c r="T22" s="368"/>
      <c r="U22" s="368"/>
      <c r="V22" s="368"/>
      <c r="W22" s="368"/>
      <c r="X22" s="368"/>
      <c r="Y22" s="6"/>
      <c r="Z22" s="368"/>
      <c r="AA22" s="368"/>
      <c r="AB22" s="368"/>
      <c r="AC22" s="368"/>
      <c r="AD22" s="15"/>
    </row>
    <row r="23" spans="1:30" ht="31.5" x14ac:dyDescent="0.25">
      <c r="A23" s="533">
        <v>2</v>
      </c>
      <c r="B23" s="533">
        <v>10154</v>
      </c>
      <c r="C23" s="536" t="s">
        <v>157</v>
      </c>
      <c r="D23" s="533">
        <v>1970</v>
      </c>
      <c r="E23" s="533" t="s">
        <v>202</v>
      </c>
      <c r="F23" s="369" t="s">
        <v>156</v>
      </c>
      <c r="G23" s="369">
        <v>848310</v>
      </c>
      <c r="H23" s="369">
        <v>3</v>
      </c>
      <c r="I23" s="369">
        <v>45</v>
      </c>
      <c r="J23" s="370"/>
      <c r="K23" s="371">
        <v>1</v>
      </c>
      <c r="L23" s="371"/>
      <c r="M23" s="371"/>
      <c r="N23" s="369">
        <v>1</v>
      </c>
      <c r="O23" s="372"/>
      <c r="P23" s="369">
        <v>45</v>
      </c>
      <c r="Q23" s="369" t="s">
        <v>382</v>
      </c>
      <c r="R23" s="370" t="s">
        <v>392</v>
      </c>
      <c r="S23" s="539">
        <v>436</v>
      </c>
      <c r="T23" s="368"/>
      <c r="U23" s="368"/>
      <c r="V23" s="368"/>
      <c r="W23" s="368"/>
      <c r="X23" s="368"/>
      <c r="Y23" s="6"/>
      <c r="Z23" s="368"/>
      <c r="AA23" s="368"/>
      <c r="AB23" s="368"/>
      <c r="AC23" s="368"/>
      <c r="AD23" s="15"/>
    </row>
    <row r="24" spans="1:30" x14ac:dyDescent="0.25">
      <c r="A24" s="534"/>
      <c r="B24" s="534"/>
      <c r="C24" s="537"/>
      <c r="D24" s="534"/>
      <c r="E24" s="534"/>
      <c r="F24" s="373" t="s">
        <v>162</v>
      </c>
      <c r="G24" s="373">
        <v>848309</v>
      </c>
      <c r="H24" s="373">
        <v>4</v>
      </c>
      <c r="I24" s="373">
        <v>60</v>
      </c>
      <c r="J24" s="374"/>
      <c r="K24" s="375">
        <v>1</v>
      </c>
      <c r="L24" s="375"/>
      <c r="M24" s="375"/>
      <c r="N24" s="373">
        <v>1</v>
      </c>
      <c r="O24" s="376"/>
      <c r="P24" s="373">
        <v>60</v>
      </c>
      <c r="Q24" s="373" t="s">
        <v>364</v>
      </c>
      <c r="R24" s="374" t="s">
        <v>392</v>
      </c>
      <c r="S24" s="540"/>
      <c r="T24" s="368"/>
      <c r="U24" s="368"/>
      <c r="V24" s="368"/>
      <c r="W24" s="368"/>
      <c r="X24" s="368"/>
      <c r="Y24" s="6"/>
      <c r="Z24" s="368"/>
      <c r="AA24" s="368"/>
      <c r="AB24" s="368"/>
      <c r="AC24" s="368"/>
      <c r="AD24" s="15"/>
    </row>
    <row r="25" spans="1:30" x14ac:dyDescent="0.25">
      <c r="A25" s="534"/>
      <c r="B25" s="534"/>
      <c r="C25" s="537"/>
      <c r="D25" s="534"/>
      <c r="E25" s="534"/>
      <c r="F25" s="373" t="s">
        <v>296</v>
      </c>
      <c r="G25" s="373">
        <v>848303</v>
      </c>
      <c r="H25" s="373">
        <v>3</v>
      </c>
      <c r="I25" s="373">
        <v>45</v>
      </c>
      <c r="J25" s="374"/>
      <c r="K25" s="375">
        <v>1</v>
      </c>
      <c r="L25" s="375"/>
      <c r="M25" s="375"/>
      <c r="N25" s="373"/>
      <c r="O25" s="376">
        <v>1</v>
      </c>
      <c r="P25" s="373">
        <v>45</v>
      </c>
      <c r="Q25" s="373"/>
      <c r="R25" s="374"/>
      <c r="S25" s="540"/>
      <c r="T25" s="368"/>
      <c r="U25" s="368"/>
      <c r="V25" s="368"/>
      <c r="W25" s="368"/>
      <c r="X25" s="368"/>
      <c r="Y25" s="6"/>
      <c r="Z25" s="368"/>
      <c r="AA25" s="368"/>
      <c r="AB25" s="368"/>
      <c r="AC25" s="368"/>
      <c r="AD25" s="15"/>
    </row>
    <row r="26" spans="1:30" x14ac:dyDescent="0.25">
      <c r="A26" s="534"/>
      <c r="B26" s="534"/>
      <c r="C26" s="537"/>
      <c r="D26" s="534"/>
      <c r="E26" s="534"/>
      <c r="F26" s="373" t="s">
        <v>174</v>
      </c>
      <c r="G26" s="373">
        <v>848043</v>
      </c>
      <c r="H26" s="373">
        <v>3</v>
      </c>
      <c r="I26" s="373">
        <v>45</v>
      </c>
      <c r="J26" s="374"/>
      <c r="K26" s="375">
        <v>1</v>
      </c>
      <c r="L26" s="375"/>
      <c r="M26" s="375"/>
      <c r="N26" s="373"/>
      <c r="O26" s="376">
        <v>1</v>
      </c>
      <c r="P26" s="373">
        <v>45</v>
      </c>
      <c r="Q26" s="373"/>
      <c r="R26" s="374"/>
      <c r="S26" s="540"/>
      <c r="T26" s="368"/>
      <c r="U26" s="368"/>
      <c r="V26" s="368"/>
      <c r="W26" s="368"/>
      <c r="X26" s="368"/>
      <c r="Y26" s="6"/>
      <c r="Z26" s="368"/>
      <c r="AA26" s="368"/>
      <c r="AB26" s="368"/>
      <c r="AC26" s="368"/>
      <c r="AD26" s="15"/>
    </row>
    <row r="27" spans="1:30" x14ac:dyDescent="0.25">
      <c r="A27" s="534"/>
      <c r="B27" s="534"/>
      <c r="C27" s="537"/>
      <c r="D27" s="534"/>
      <c r="E27" s="534"/>
      <c r="F27" s="373" t="s">
        <v>297</v>
      </c>
      <c r="G27" s="373">
        <v>848040</v>
      </c>
      <c r="H27" s="373">
        <v>3</v>
      </c>
      <c r="I27" s="373">
        <v>45</v>
      </c>
      <c r="J27" s="374"/>
      <c r="K27" s="375">
        <v>1</v>
      </c>
      <c r="L27" s="375"/>
      <c r="M27" s="375"/>
      <c r="N27" s="373"/>
      <c r="O27" s="376">
        <v>1</v>
      </c>
      <c r="P27" s="373">
        <v>45</v>
      </c>
      <c r="Q27" s="373"/>
      <c r="R27" s="374"/>
      <c r="S27" s="540"/>
      <c r="T27" s="368"/>
      <c r="U27" s="368"/>
      <c r="V27" s="368"/>
      <c r="W27" s="368"/>
      <c r="X27" s="368"/>
      <c r="Y27" s="6"/>
      <c r="Z27" s="368"/>
      <c r="AA27" s="368"/>
      <c r="AB27" s="368"/>
      <c r="AC27" s="368"/>
      <c r="AD27" s="15"/>
    </row>
    <row r="28" spans="1:30" x14ac:dyDescent="0.25">
      <c r="A28" s="534"/>
      <c r="B28" s="534"/>
      <c r="C28" s="537"/>
      <c r="D28" s="534"/>
      <c r="E28" s="534"/>
      <c r="F28" s="373" t="s">
        <v>334</v>
      </c>
      <c r="G28" s="373">
        <v>832006</v>
      </c>
      <c r="H28" s="373">
        <v>3</v>
      </c>
      <c r="I28" s="373">
        <v>45</v>
      </c>
      <c r="J28" s="374"/>
      <c r="K28" s="375">
        <v>1</v>
      </c>
      <c r="L28" s="375"/>
      <c r="M28" s="375"/>
      <c r="N28" s="373">
        <v>1</v>
      </c>
      <c r="O28" s="376"/>
      <c r="P28" s="373">
        <v>45</v>
      </c>
      <c r="Q28" s="373"/>
      <c r="R28" s="374"/>
      <c r="S28" s="540"/>
      <c r="T28" s="368"/>
      <c r="U28" s="368"/>
      <c r="V28" s="368"/>
      <c r="W28" s="368"/>
      <c r="X28" s="368"/>
      <c r="Y28" s="6"/>
      <c r="Z28" s="368"/>
      <c r="AA28" s="368"/>
      <c r="AB28" s="368"/>
      <c r="AC28" s="368"/>
      <c r="AD28" s="15"/>
    </row>
    <row r="29" spans="1:30" x14ac:dyDescent="0.25">
      <c r="A29" s="534"/>
      <c r="B29" s="534"/>
      <c r="C29" s="537"/>
      <c r="D29" s="534"/>
      <c r="E29" s="534"/>
      <c r="F29" s="373" t="s">
        <v>320</v>
      </c>
      <c r="G29" s="373">
        <v>806402</v>
      </c>
      <c r="H29" s="373">
        <v>3</v>
      </c>
      <c r="I29" s="373">
        <v>45</v>
      </c>
      <c r="J29" s="374"/>
      <c r="K29" s="375">
        <v>1</v>
      </c>
      <c r="L29" s="375"/>
      <c r="M29" s="375"/>
      <c r="N29" s="373">
        <v>1</v>
      </c>
      <c r="O29" s="376"/>
      <c r="P29" s="373">
        <v>45</v>
      </c>
      <c r="Q29" s="373"/>
      <c r="R29" s="374"/>
      <c r="S29" s="540"/>
      <c r="T29" s="368"/>
      <c r="U29" s="368"/>
      <c r="V29" s="368"/>
      <c r="W29" s="368"/>
      <c r="X29" s="368"/>
      <c r="Y29" s="6"/>
      <c r="Z29" s="368"/>
      <c r="AA29" s="368"/>
      <c r="AB29" s="368"/>
      <c r="AC29" s="368"/>
      <c r="AD29" s="15"/>
    </row>
    <row r="30" spans="1:30" x14ac:dyDescent="0.25">
      <c r="A30" s="535"/>
      <c r="B30" s="535"/>
      <c r="C30" s="538"/>
      <c r="D30" s="535"/>
      <c r="E30" s="535"/>
      <c r="F30" s="542" t="s">
        <v>227</v>
      </c>
      <c r="G30" s="543"/>
      <c r="H30" s="543"/>
      <c r="I30" s="543"/>
      <c r="J30" s="543"/>
      <c r="K30" s="543"/>
      <c r="L30" s="543"/>
      <c r="M30" s="543"/>
      <c r="N30" s="543"/>
      <c r="O30" s="544"/>
      <c r="P30" s="377">
        <f>SUM(P23:P29)</f>
        <v>330</v>
      </c>
      <c r="Q30" s="377" t="s">
        <v>227</v>
      </c>
      <c r="R30" s="378">
        <v>106</v>
      </c>
      <c r="S30" s="541"/>
      <c r="T30" s="368"/>
      <c r="U30" s="368"/>
      <c r="V30" s="368"/>
      <c r="W30" s="368"/>
      <c r="X30" s="368"/>
      <c r="Y30" s="6"/>
      <c r="Z30" s="368"/>
      <c r="AA30" s="368"/>
      <c r="AB30" s="368"/>
      <c r="AC30" s="368"/>
      <c r="AD30" s="15"/>
    </row>
    <row r="31" spans="1:30" x14ac:dyDescent="0.25">
      <c r="A31" s="533">
        <v>3</v>
      </c>
      <c r="B31" s="533">
        <v>10934</v>
      </c>
      <c r="C31" s="536" t="s">
        <v>192</v>
      </c>
      <c r="D31" s="533">
        <v>1987</v>
      </c>
      <c r="E31" s="533" t="s">
        <v>202</v>
      </c>
      <c r="F31" s="369" t="s">
        <v>234</v>
      </c>
      <c r="G31" s="369">
        <v>864006</v>
      </c>
      <c r="H31" s="369">
        <v>3</v>
      </c>
      <c r="I31" s="369"/>
      <c r="J31" s="370"/>
      <c r="K31" s="371">
        <v>1</v>
      </c>
      <c r="L31" s="371"/>
      <c r="M31" s="371"/>
      <c r="N31" s="369"/>
      <c r="O31" s="372">
        <v>1</v>
      </c>
      <c r="P31" s="369">
        <v>45</v>
      </c>
      <c r="Q31" s="369" t="s">
        <v>264</v>
      </c>
      <c r="R31" s="370" t="s">
        <v>392</v>
      </c>
      <c r="S31" s="539">
        <v>383</v>
      </c>
      <c r="T31" s="368"/>
      <c r="U31" s="368"/>
      <c r="V31" s="368"/>
      <c r="W31" s="368"/>
      <c r="X31" s="368"/>
      <c r="Y31" s="6"/>
      <c r="Z31" s="368"/>
      <c r="AA31" s="368"/>
      <c r="AB31" s="368"/>
      <c r="AC31" s="368"/>
      <c r="AD31" s="15"/>
    </row>
    <row r="32" spans="1:30" x14ac:dyDescent="0.25">
      <c r="A32" s="534"/>
      <c r="B32" s="534"/>
      <c r="C32" s="537"/>
      <c r="D32" s="534"/>
      <c r="E32" s="534"/>
      <c r="F32" s="373" t="s">
        <v>229</v>
      </c>
      <c r="G32" s="373">
        <v>864001</v>
      </c>
      <c r="H32" s="373">
        <v>3</v>
      </c>
      <c r="I32" s="373"/>
      <c r="J32" s="374"/>
      <c r="K32" s="375">
        <v>1</v>
      </c>
      <c r="L32" s="375"/>
      <c r="M32" s="375"/>
      <c r="N32" s="373"/>
      <c r="O32" s="376">
        <v>1</v>
      </c>
      <c r="P32" s="373">
        <v>45</v>
      </c>
      <c r="Q32" s="373"/>
      <c r="R32" s="374"/>
      <c r="S32" s="540"/>
      <c r="T32" s="368"/>
      <c r="U32" s="368"/>
      <c r="V32" s="368"/>
      <c r="W32" s="368"/>
      <c r="X32" s="368"/>
      <c r="Y32" s="6"/>
      <c r="Z32" s="368"/>
      <c r="AA32" s="368"/>
      <c r="AB32" s="368"/>
      <c r="AC32" s="368"/>
      <c r="AD32" s="15"/>
    </row>
    <row r="33" spans="1:30" x14ac:dyDescent="0.25">
      <c r="A33" s="534"/>
      <c r="B33" s="534"/>
      <c r="C33" s="537"/>
      <c r="D33" s="534"/>
      <c r="E33" s="534"/>
      <c r="F33" s="373" t="s">
        <v>184</v>
      </c>
      <c r="G33" s="373">
        <v>848001</v>
      </c>
      <c r="H33" s="373">
        <v>6</v>
      </c>
      <c r="I33" s="373">
        <v>90</v>
      </c>
      <c r="J33" s="374"/>
      <c r="K33" s="375">
        <v>2</v>
      </c>
      <c r="L33" s="375"/>
      <c r="M33" s="375"/>
      <c r="N33" s="373">
        <v>2</v>
      </c>
      <c r="O33" s="376"/>
      <c r="P33" s="373">
        <v>60</v>
      </c>
      <c r="Q33" s="373"/>
      <c r="R33" s="374"/>
      <c r="S33" s="540"/>
      <c r="T33" s="368"/>
      <c r="U33" s="368"/>
      <c r="V33" s="368"/>
      <c r="W33" s="368"/>
      <c r="X33" s="368"/>
      <c r="Y33" s="6"/>
      <c r="Z33" s="368"/>
      <c r="AA33" s="368"/>
      <c r="AB33" s="368"/>
      <c r="AC33" s="368"/>
      <c r="AD33" s="15"/>
    </row>
    <row r="34" spans="1:30" x14ac:dyDescent="0.25">
      <c r="A34" s="534"/>
      <c r="B34" s="534"/>
      <c r="C34" s="537"/>
      <c r="D34" s="534"/>
      <c r="E34" s="534"/>
      <c r="F34" s="373" t="s">
        <v>324</v>
      </c>
      <c r="G34" s="373">
        <v>841405</v>
      </c>
      <c r="H34" s="373">
        <v>3</v>
      </c>
      <c r="I34" s="373">
        <v>45</v>
      </c>
      <c r="J34" s="374"/>
      <c r="K34" s="375">
        <v>3</v>
      </c>
      <c r="L34" s="375"/>
      <c r="M34" s="375"/>
      <c r="N34" s="373"/>
      <c r="O34" s="376">
        <v>3</v>
      </c>
      <c r="P34" s="373">
        <v>75</v>
      </c>
      <c r="Q34" s="373"/>
      <c r="R34" s="374"/>
      <c r="S34" s="540"/>
      <c r="T34" s="368"/>
      <c r="U34" s="368"/>
      <c r="V34" s="368"/>
      <c r="W34" s="368"/>
      <c r="X34" s="368"/>
      <c r="Y34" s="6"/>
      <c r="Z34" s="368"/>
      <c r="AA34" s="368"/>
      <c r="AB34" s="368"/>
      <c r="AC34" s="368"/>
      <c r="AD34" s="15"/>
    </row>
    <row r="35" spans="1:30" x14ac:dyDescent="0.25">
      <c r="A35" s="534"/>
      <c r="B35" s="534"/>
      <c r="C35" s="537"/>
      <c r="D35" s="534"/>
      <c r="E35" s="534"/>
      <c r="F35" s="373" t="s">
        <v>197</v>
      </c>
      <c r="G35" s="373">
        <v>801402</v>
      </c>
      <c r="H35" s="373">
        <v>6</v>
      </c>
      <c r="I35" s="373">
        <v>90</v>
      </c>
      <c r="J35" s="374"/>
      <c r="K35" s="375">
        <v>1</v>
      </c>
      <c r="L35" s="375"/>
      <c r="M35" s="375"/>
      <c r="N35" s="373">
        <v>1</v>
      </c>
      <c r="O35" s="376"/>
      <c r="P35" s="373">
        <v>30</v>
      </c>
      <c r="Q35" s="373"/>
      <c r="R35" s="374"/>
      <c r="S35" s="540"/>
      <c r="T35" s="368"/>
      <c r="U35" s="368"/>
      <c r="V35" s="368"/>
      <c r="W35" s="368"/>
      <c r="X35" s="368"/>
      <c r="Y35" s="6"/>
      <c r="Z35" s="368"/>
      <c r="AA35" s="368"/>
      <c r="AB35" s="368"/>
      <c r="AC35" s="368"/>
      <c r="AD35" s="15"/>
    </row>
    <row r="36" spans="1:30" x14ac:dyDescent="0.25">
      <c r="A36" s="534"/>
      <c r="B36" s="534"/>
      <c r="C36" s="537"/>
      <c r="D36" s="534"/>
      <c r="E36" s="534"/>
      <c r="F36" s="373" t="s">
        <v>131</v>
      </c>
      <c r="G36" s="373">
        <v>801303</v>
      </c>
      <c r="H36" s="373">
        <v>3</v>
      </c>
      <c r="I36" s="373">
        <v>45</v>
      </c>
      <c r="J36" s="374"/>
      <c r="K36" s="375">
        <v>1</v>
      </c>
      <c r="L36" s="375"/>
      <c r="M36" s="375"/>
      <c r="N36" s="373">
        <v>1</v>
      </c>
      <c r="O36" s="376"/>
      <c r="P36" s="373">
        <v>15</v>
      </c>
      <c r="Q36" s="373"/>
      <c r="R36" s="374"/>
      <c r="S36" s="540"/>
      <c r="T36" s="368"/>
      <c r="U36" s="368"/>
      <c r="V36" s="368"/>
      <c r="W36" s="368"/>
      <c r="X36" s="368"/>
      <c r="Y36" s="6"/>
      <c r="Z36" s="368"/>
      <c r="AA36" s="368"/>
      <c r="AB36" s="368"/>
      <c r="AC36" s="368"/>
      <c r="AD36" s="15"/>
    </row>
    <row r="37" spans="1:30" x14ac:dyDescent="0.25">
      <c r="A37" s="534"/>
      <c r="B37" s="534"/>
      <c r="C37" s="537"/>
      <c r="D37" s="534"/>
      <c r="E37" s="534"/>
      <c r="F37" s="373" t="s">
        <v>140</v>
      </c>
      <c r="G37" s="373">
        <v>801043</v>
      </c>
      <c r="H37" s="373">
        <v>4</v>
      </c>
      <c r="I37" s="373">
        <v>60</v>
      </c>
      <c r="J37" s="374"/>
      <c r="K37" s="375">
        <v>1</v>
      </c>
      <c r="L37" s="375"/>
      <c r="M37" s="375"/>
      <c r="N37" s="373">
        <v>1</v>
      </c>
      <c r="O37" s="376"/>
      <c r="P37" s="373">
        <v>60</v>
      </c>
      <c r="Q37" s="373"/>
      <c r="R37" s="374"/>
      <c r="S37" s="540"/>
      <c r="T37" s="368"/>
      <c r="U37" s="368"/>
      <c r="V37" s="368"/>
      <c r="W37" s="368"/>
      <c r="X37" s="368"/>
      <c r="Y37" s="6"/>
      <c r="Z37" s="368"/>
      <c r="AA37" s="368"/>
      <c r="AB37" s="368"/>
      <c r="AC37" s="368"/>
      <c r="AD37" s="15"/>
    </row>
    <row r="38" spans="1:30" x14ac:dyDescent="0.25">
      <c r="A38" s="535"/>
      <c r="B38" s="535"/>
      <c r="C38" s="538"/>
      <c r="D38" s="535"/>
      <c r="E38" s="535"/>
      <c r="F38" s="542" t="s">
        <v>227</v>
      </c>
      <c r="G38" s="543"/>
      <c r="H38" s="543"/>
      <c r="I38" s="543"/>
      <c r="J38" s="543"/>
      <c r="K38" s="543"/>
      <c r="L38" s="543"/>
      <c r="M38" s="543"/>
      <c r="N38" s="543"/>
      <c r="O38" s="544"/>
      <c r="P38" s="377">
        <f>SUM(P31:P37)</f>
        <v>330</v>
      </c>
      <c r="Q38" s="377" t="s">
        <v>227</v>
      </c>
      <c r="R38" s="378">
        <v>53</v>
      </c>
      <c r="S38" s="541"/>
      <c r="T38" s="368"/>
      <c r="U38" s="368"/>
      <c r="V38" s="368"/>
      <c r="W38" s="368"/>
      <c r="X38" s="368"/>
      <c r="Y38" s="6"/>
      <c r="Z38" s="368"/>
      <c r="AA38" s="368"/>
      <c r="AB38" s="368"/>
      <c r="AC38" s="368"/>
      <c r="AD38" s="15"/>
    </row>
    <row r="39" spans="1:30" ht="31.5" x14ac:dyDescent="0.25">
      <c r="A39" s="533">
        <v>4</v>
      </c>
      <c r="B39" s="533">
        <v>10135</v>
      </c>
      <c r="C39" s="536" t="s">
        <v>205</v>
      </c>
      <c r="D39" s="533">
        <v>1973</v>
      </c>
      <c r="E39" s="533" t="s">
        <v>206</v>
      </c>
      <c r="F39" s="369" t="s">
        <v>235</v>
      </c>
      <c r="G39" s="369">
        <v>867007</v>
      </c>
      <c r="H39" s="369">
        <v>3</v>
      </c>
      <c r="I39" s="369"/>
      <c r="J39" s="370"/>
      <c r="K39" s="371">
        <v>4</v>
      </c>
      <c r="L39" s="371"/>
      <c r="M39" s="371"/>
      <c r="N39" s="369">
        <v>4</v>
      </c>
      <c r="O39" s="372"/>
      <c r="P39" s="369">
        <v>180</v>
      </c>
      <c r="Q39" s="369" t="s">
        <v>383</v>
      </c>
      <c r="R39" s="370" t="s">
        <v>392</v>
      </c>
      <c r="S39" s="539">
        <v>458</v>
      </c>
      <c r="T39" s="368"/>
      <c r="U39" s="368"/>
      <c r="V39" s="368"/>
      <c r="W39" s="368"/>
      <c r="X39" s="368"/>
      <c r="Y39" s="6"/>
      <c r="Z39" s="368"/>
      <c r="AA39" s="368"/>
      <c r="AB39" s="368"/>
      <c r="AC39" s="368"/>
      <c r="AD39" s="15"/>
    </row>
    <row r="40" spans="1:30" x14ac:dyDescent="0.25">
      <c r="A40" s="534"/>
      <c r="B40" s="534"/>
      <c r="C40" s="537"/>
      <c r="D40" s="534"/>
      <c r="E40" s="534"/>
      <c r="F40" s="373" t="s">
        <v>229</v>
      </c>
      <c r="G40" s="373">
        <v>864001</v>
      </c>
      <c r="H40" s="373">
        <v>3</v>
      </c>
      <c r="I40" s="373"/>
      <c r="J40" s="374"/>
      <c r="K40" s="375">
        <v>3</v>
      </c>
      <c r="L40" s="375"/>
      <c r="M40" s="375"/>
      <c r="N40" s="373">
        <v>1</v>
      </c>
      <c r="O40" s="376">
        <v>2</v>
      </c>
      <c r="P40" s="373">
        <v>135</v>
      </c>
      <c r="Q40" s="373"/>
      <c r="R40" s="374"/>
      <c r="S40" s="540"/>
      <c r="T40" s="368"/>
      <c r="U40" s="368"/>
      <c r="V40" s="368"/>
      <c r="W40" s="368"/>
      <c r="X40" s="368"/>
      <c r="Y40" s="6"/>
      <c r="Z40" s="368"/>
      <c r="AA40" s="368"/>
      <c r="AB40" s="368"/>
      <c r="AC40" s="368"/>
      <c r="AD40" s="15"/>
    </row>
    <row r="41" spans="1:30" x14ac:dyDescent="0.25">
      <c r="A41" s="534"/>
      <c r="B41" s="534"/>
      <c r="C41" s="537"/>
      <c r="D41" s="534"/>
      <c r="E41" s="534"/>
      <c r="F41" s="373" t="s">
        <v>233</v>
      </c>
      <c r="G41" s="373">
        <v>841401</v>
      </c>
      <c r="H41" s="373">
        <v>3</v>
      </c>
      <c r="I41" s="373">
        <v>45</v>
      </c>
      <c r="J41" s="374"/>
      <c r="K41" s="375">
        <v>2</v>
      </c>
      <c r="L41" s="375"/>
      <c r="M41" s="375"/>
      <c r="N41" s="373">
        <v>2</v>
      </c>
      <c r="O41" s="376"/>
      <c r="P41" s="373">
        <v>90</v>
      </c>
      <c r="Q41" s="373"/>
      <c r="R41" s="374"/>
      <c r="S41" s="540"/>
      <c r="T41" s="368"/>
      <c r="U41" s="368"/>
      <c r="V41" s="368"/>
      <c r="W41" s="368"/>
      <c r="X41" s="368"/>
      <c r="Y41" s="6"/>
      <c r="Z41" s="368"/>
      <c r="AA41" s="368"/>
      <c r="AB41" s="368"/>
      <c r="AC41" s="368"/>
      <c r="AD41" s="15"/>
    </row>
    <row r="42" spans="1:30" x14ac:dyDescent="0.25">
      <c r="A42" s="535"/>
      <c r="B42" s="535"/>
      <c r="C42" s="538"/>
      <c r="D42" s="535"/>
      <c r="E42" s="535"/>
      <c r="F42" s="542" t="s">
        <v>227</v>
      </c>
      <c r="G42" s="543"/>
      <c r="H42" s="543"/>
      <c r="I42" s="543"/>
      <c r="J42" s="543"/>
      <c r="K42" s="543"/>
      <c r="L42" s="543"/>
      <c r="M42" s="543"/>
      <c r="N42" s="543"/>
      <c r="O42" s="544"/>
      <c r="P42" s="377">
        <f>SUM(P39:P41)</f>
        <v>405</v>
      </c>
      <c r="Q42" s="377" t="s">
        <v>227</v>
      </c>
      <c r="R42" s="378">
        <v>53</v>
      </c>
      <c r="S42" s="541"/>
      <c r="T42" s="368"/>
      <c r="U42" s="368"/>
      <c r="V42" s="368"/>
      <c r="W42" s="368"/>
      <c r="X42" s="368"/>
      <c r="Y42" s="6"/>
      <c r="Z42" s="368"/>
      <c r="AA42" s="368"/>
      <c r="AB42" s="368"/>
      <c r="AC42" s="368"/>
      <c r="AD42" s="15"/>
    </row>
    <row r="43" spans="1:30" x14ac:dyDescent="0.25">
      <c r="A43" s="533">
        <v>5</v>
      </c>
      <c r="B43" s="533">
        <v>10145</v>
      </c>
      <c r="C43" s="536" t="s">
        <v>147</v>
      </c>
      <c r="D43" s="533">
        <v>1968</v>
      </c>
      <c r="E43" s="533" t="s">
        <v>202</v>
      </c>
      <c r="F43" s="369" t="s">
        <v>232</v>
      </c>
      <c r="G43" s="369">
        <v>867006</v>
      </c>
      <c r="H43" s="369">
        <v>2</v>
      </c>
      <c r="I43" s="369"/>
      <c r="J43" s="370"/>
      <c r="K43" s="371">
        <v>7</v>
      </c>
      <c r="L43" s="371"/>
      <c r="M43" s="371"/>
      <c r="N43" s="369">
        <v>3</v>
      </c>
      <c r="O43" s="372">
        <v>4</v>
      </c>
      <c r="P43" s="369">
        <v>210</v>
      </c>
      <c r="Q43" s="369"/>
      <c r="R43" s="370"/>
      <c r="S43" s="539">
        <v>405</v>
      </c>
      <c r="T43" s="368"/>
      <c r="U43" s="368"/>
      <c r="V43" s="368"/>
      <c r="W43" s="368"/>
      <c r="X43" s="368"/>
      <c r="Y43" s="6"/>
      <c r="Z43" s="368"/>
      <c r="AA43" s="368"/>
      <c r="AB43" s="368"/>
      <c r="AC43" s="368"/>
      <c r="AD43" s="15"/>
    </row>
    <row r="44" spans="1:30" x14ac:dyDescent="0.25">
      <c r="A44" s="534"/>
      <c r="B44" s="534"/>
      <c r="C44" s="537"/>
      <c r="D44" s="534"/>
      <c r="E44" s="534"/>
      <c r="F44" s="373" t="s">
        <v>230</v>
      </c>
      <c r="G44" s="373">
        <v>864002</v>
      </c>
      <c r="H44" s="373">
        <v>3</v>
      </c>
      <c r="I44" s="373"/>
      <c r="J44" s="374"/>
      <c r="K44" s="375">
        <v>3</v>
      </c>
      <c r="L44" s="375"/>
      <c r="M44" s="375"/>
      <c r="N44" s="373">
        <v>1</v>
      </c>
      <c r="O44" s="376">
        <v>2</v>
      </c>
      <c r="P44" s="373">
        <v>135</v>
      </c>
      <c r="Q44" s="373"/>
      <c r="R44" s="374"/>
      <c r="S44" s="540"/>
      <c r="T44" s="368"/>
      <c r="U44" s="368"/>
      <c r="V44" s="368"/>
      <c r="W44" s="368"/>
      <c r="X44" s="368"/>
      <c r="Y44" s="6"/>
      <c r="Z44" s="368"/>
      <c r="AA44" s="368"/>
      <c r="AB44" s="368"/>
      <c r="AC44" s="368"/>
      <c r="AD44" s="15"/>
    </row>
    <row r="45" spans="1:30" x14ac:dyDescent="0.25">
      <c r="A45" s="534"/>
      <c r="B45" s="534"/>
      <c r="C45" s="537"/>
      <c r="D45" s="534"/>
      <c r="E45" s="534"/>
      <c r="F45" s="373" t="s">
        <v>229</v>
      </c>
      <c r="G45" s="373">
        <v>864001</v>
      </c>
      <c r="H45" s="373">
        <v>3</v>
      </c>
      <c r="I45" s="373"/>
      <c r="J45" s="374"/>
      <c r="K45" s="375">
        <v>1</v>
      </c>
      <c r="L45" s="375"/>
      <c r="M45" s="375"/>
      <c r="N45" s="373">
        <v>1</v>
      </c>
      <c r="O45" s="376"/>
      <c r="P45" s="373">
        <v>45</v>
      </c>
      <c r="Q45" s="373"/>
      <c r="R45" s="374"/>
      <c r="S45" s="540"/>
      <c r="T45" s="368"/>
      <c r="U45" s="368"/>
      <c r="V45" s="368"/>
      <c r="W45" s="368"/>
      <c r="X45" s="368"/>
      <c r="Y45" s="6"/>
      <c r="Z45" s="368"/>
      <c r="AA45" s="368"/>
      <c r="AB45" s="368"/>
      <c r="AC45" s="368"/>
      <c r="AD45" s="15"/>
    </row>
    <row r="46" spans="1:30" x14ac:dyDescent="0.25">
      <c r="A46" s="534"/>
      <c r="B46" s="534"/>
      <c r="C46" s="537"/>
      <c r="D46" s="534"/>
      <c r="E46" s="534"/>
      <c r="F46" s="373" t="s">
        <v>127</v>
      </c>
      <c r="G46" s="373">
        <v>801090</v>
      </c>
      <c r="H46" s="373">
        <v>1</v>
      </c>
      <c r="I46" s="373">
        <v>30</v>
      </c>
      <c r="J46" s="374"/>
      <c r="K46" s="375">
        <v>1</v>
      </c>
      <c r="L46" s="375"/>
      <c r="M46" s="375"/>
      <c r="N46" s="373">
        <v>1</v>
      </c>
      <c r="O46" s="376"/>
      <c r="P46" s="373">
        <v>15</v>
      </c>
      <c r="Q46" s="373"/>
      <c r="R46" s="374"/>
      <c r="S46" s="540"/>
      <c r="T46" s="368"/>
      <c r="U46" s="368"/>
      <c r="V46" s="368"/>
      <c r="W46" s="368"/>
      <c r="X46" s="368"/>
      <c r="Y46" s="6"/>
      <c r="Z46" s="368"/>
      <c r="AA46" s="368"/>
      <c r="AB46" s="368"/>
      <c r="AC46" s="368"/>
      <c r="AD46" s="15"/>
    </row>
    <row r="47" spans="1:30" x14ac:dyDescent="0.25">
      <c r="A47" s="535"/>
      <c r="B47" s="535"/>
      <c r="C47" s="538"/>
      <c r="D47" s="535"/>
      <c r="E47" s="535"/>
      <c r="F47" s="542" t="s">
        <v>227</v>
      </c>
      <c r="G47" s="543"/>
      <c r="H47" s="543"/>
      <c r="I47" s="543"/>
      <c r="J47" s="543"/>
      <c r="K47" s="543"/>
      <c r="L47" s="543"/>
      <c r="M47" s="543"/>
      <c r="N47" s="543"/>
      <c r="O47" s="544"/>
      <c r="P47" s="377">
        <f>SUM(P43:P46)</f>
        <v>405</v>
      </c>
      <c r="Q47" s="377" t="s">
        <v>227</v>
      </c>
      <c r="R47" s="378">
        <v>0</v>
      </c>
      <c r="S47" s="541"/>
      <c r="T47" s="368"/>
      <c r="U47" s="368"/>
      <c r="V47" s="368"/>
      <c r="W47" s="368"/>
      <c r="X47" s="368"/>
      <c r="Y47" s="6"/>
      <c r="Z47" s="368"/>
      <c r="AA47" s="368"/>
      <c r="AB47" s="368"/>
      <c r="AC47" s="368"/>
      <c r="AD47" s="15"/>
    </row>
    <row r="48" spans="1:30" x14ac:dyDescent="0.25">
      <c r="A48" s="533">
        <v>6</v>
      </c>
      <c r="B48" s="533">
        <v>11489</v>
      </c>
      <c r="C48" s="536" t="s">
        <v>241</v>
      </c>
      <c r="D48" s="533">
        <v>1976</v>
      </c>
      <c r="E48" s="533" t="s">
        <v>214</v>
      </c>
      <c r="F48" s="369" t="s">
        <v>233</v>
      </c>
      <c r="G48" s="369">
        <v>864005</v>
      </c>
      <c r="H48" s="369">
        <v>3</v>
      </c>
      <c r="I48" s="369"/>
      <c r="J48" s="370"/>
      <c r="K48" s="371">
        <v>4</v>
      </c>
      <c r="L48" s="371"/>
      <c r="M48" s="371"/>
      <c r="N48" s="369">
        <v>4</v>
      </c>
      <c r="O48" s="372"/>
      <c r="P48" s="369">
        <v>180</v>
      </c>
      <c r="Q48" s="369"/>
      <c r="R48" s="370"/>
      <c r="S48" s="539">
        <v>405</v>
      </c>
      <c r="T48" s="368"/>
      <c r="U48" s="368"/>
      <c r="V48" s="368"/>
      <c r="W48" s="368"/>
      <c r="X48" s="368"/>
      <c r="Y48" s="6"/>
      <c r="Z48" s="368"/>
      <c r="AA48" s="368"/>
      <c r="AB48" s="368"/>
      <c r="AC48" s="368"/>
      <c r="AD48" s="15"/>
    </row>
    <row r="49" spans="1:30" x14ac:dyDescent="0.25">
      <c r="A49" s="534"/>
      <c r="B49" s="534"/>
      <c r="C49" s="537"/>
      <c r="D49" s="534"/>
      <c r="E49" s="534"/>
      <c r="F49" s="373" t="s">
        <v>229</v>
      </c>
      <c r="G49" s="373">
        <v>864001</v>
      </c>
      <c r="H49" s="373">
        <v>3</v>
      </c>
      <c r="I49" s="373"/>
      <c r="J49" s="374"/>
      <c r="K49" s="375">
        <v>4</v>
      </c>
      <c r="L49" s="375"/>
      <c r="M49" s="375"/>
      <c r="N49" s="373">
        <v>3</v>
      </c>
      <c r="O49" s="376">
        <v>1</v>
      </c>
      <c r="P49" s="373">
        <v>180</v>
      </c>
      <c r="Q49" s="373"/>
      <c r="R49" s="374"/>
      <c r="S49" s="540"/>
      <c r="T49" s="368"/>
      <c r="U49" s="368"/>
      <c r="V49" s="368"/>
      <c r="W49" s="368"/>
      <c r="X49" s="368"/>
      <c r="Y49" s="6"/>
      <c r="Z49" s="368"/>
      <c r="AA49" s="368"/>
      <c r="AB49" s="368"/>
      <c r="AC49" s="368"/>
      <c r="AD49" s="15"/>
    </row>
    <row r="50" spans="1:30" x14ac:dyDescent="0.25">
      <c r="A50" s="534"/>
      <c r="B50" s="534"/>
      <c r="C50" s="537"/>
      <c r="D50" s="534"/>
      <c r="E50" s="534"/>
      <c r="F50" s="373" t="s">
        <v>234</v>
      </c>
      <c r="G50" s="373">
        <v>841406</v>
      </c>
      <c r="H50" s="373">
        <v>3</v>
      </c>
      <c r="I50" s="373">
        <v>45</v>
      </c>
      <c r="J50" s="374"/>
      <c r="K50" s="375">
        <v>1</v>
      </c>
      <c r="L50" s="375"/>
      <c r="M50" s="375"/>
      <c r="N50" s="373"/>
      <c r="O50" s="376">
        <v>1</v>
      </c>
      <c r="P50" s="373">
        <v>45</v>
      </c>
      <c r="Q50" s="373"/>
      <c r="R50" s="374"/>
      <c r="S50" s="540"/>
      <c r="T50" s="368"/>
      <c r="U50" s="368"/>
      <c r="V50" s="368"/>
      <c r="W50" s="368"/>
      <c r="X50" s="368"/>
      <c r="Y50" s="6"/>
      <c r="Z50" s="368"/>
      <c r="AA50" s="368"/>
      <c r="AB50" s="368"/>
      <c r="AC50" s="368"/>
      <c r="AD50" s="15"/>
    </row>
    <row r="51" spans="1:30" x14ac:dyDescent="0.25">
      <c r="A51" s="535"/>
      <c r="B51" s="535"/>
      <c r="C51" s="538"/>
      <c r="D51" s="535"/>
      <c r="E51" s="535"/>
      <c r="F51" s="542" t="s">
        <v>227</v>
      </c>
      <c r="G51" s="543"/>
      <c r="H51" s="543"/>
      <c r="I51" s="543"/>
      <c r="J51" s="543"/>
      <c r="K51" s="543"/>
      <c r="L51" s="543"/>
      <c r="M51" s="543"/>
      <c r="N51" s="543"/>
      <c r="O51" s="544"/>
      <c r="P51" s="377">
        <f>SUM(P48:P50)</f>
        <v>405</v>
      </c>
      <c r="Q51" s="377" t="s">
        <v>227</v>
      </c>
      <c r="R51" s="378">
        <v>0</v>
      </c>
      <c r="S51" s="541"/>
      <c r="T51" s="368"/>
      <c r="U51" s="368"/>
      <c r="V51" s="368"/>
      <c r="W51" s="368"/>
      <c r="X51" s="368"/>
      <c r="Y51" s="6"/>
      <c r="Z51" s="368"/>
      <c r="AA51" s="368"/>
      <c r="AB51" s="368"/>
      <c r="AC51" s="368"/>
      <c r="AD51" s="15"/>
    </row>
    <row r="52" spans="1:30" ht="31.5" x14ac:dyDescent="0.25">
      <c r="A52" s="533">
        <v>7</v>
      </c>
      <c r="B52" s="533">
        <v>11053</v>
      </c>
      <c r="C52" s="536" t="s">
        <v>209</v>
      </c>
      <c r="D52" s="533">
        <v>1984</v>
      </c>
      <c r="E52" s="533" t="s">
        <v>202</v>
      </c>
      <c r="F52" s="369" t="s">
        <v>235</v>
      </c>
      <c r="G52" s="369">
        <v>867007</v>
      </c>
      <c r="H52" s="369">
        <v>3</v>
      </c>
      <c r="I52" s="369"/>
      <c r="J52" s="370"/>
      <c r="K52" s="371">
        <v>4</v>
      </c>
      <c r="L52" s="371"/>
      <c r="M52" s="371"/>
      <c r="N52" s="369">
        <v>4</v>
      </c>
      <c r="O52" s="372"/>
      <c r="P52" s="369">
        <v>180</v>
      </c>
      <c r="Q52" s="369" t="s">
        <v>368</v>
      </c>
      <c r="R52" s="370" t="s">
        <v>392</v>
      </c>
      <c r="S52" s="539">
        <v>458</v>
      </c>
      <c r="T52" s="368"/>
      <c r="U52" s="368"/>
      <c r="V52" s="368"/>
      <c r="W52" s="368"/>
      <c r="X52" s="368"/>
      <c r="Y52" s="6"/>
      <c r="Z52" s="368"/>
      <c r="AA52" s="368"/>
      <c r="AB52" s="368"/>
      <c r="AC52" s="368"/>
      <c r="AD52" s="15"/>
    </row>
    <row r="53" spans="1:30" x14ac:dyDescent="0.25">
      <c r="A53" s="534"/>
      <c r="B53" s="534"/>
      <c r="C53" s="537"/>
      <c r="D53" s="534"/>
      <c r="E53" s="534"/>
      <c r="F53" s="373" t="s">
        <v>234</v>
      </c>
      <c r="G53" s="373">
        <v>841406</v>
      </c>
      <c r="H53" s="373">
        <v>3</v>
      </c>
      <c r="I53" s="373">
        <v>45</v>
      </c>
      <c r="J53" s="374"/>
      <c r="K53" s="375">
        <v>2</v>
      </c>
      <c r="L53" s="375"/>
      <c r="M53" s="375"/>
      <c r="N53" s="373"/>
      <c r="O53" s="376">
        <v>2</v>
      </c>
      <c r="P53" s="373">
        <v>90</v>
      </c>
      <c r="Q53" s="373"/>
      <c r="R53" s="374"/>
      <c r="S53" s="540"/>
      <c r="T53" s="368"/>
      <c r="U53" s="368"/>
      <c r="V53" s="368"/>
      <c r="W53" s="368"/>
      <c r="X53" s="368"/>
      <c r="Y53" s="6"/>
      <c r="Z53" s="368"/>
      <c r="AA53" s="368"/>
      <c r="AB53" s="368"/>
      <c r="AC53" s="368"/>
      <c r="AD53" s="15"/>
    </row>
    <row r="54" spans="1:30" x14ac:dyDescent="0.25">
      <c r="A54" s="534"/>
      <c r="B54" s="534"/>
      <c r="C54" s="537"/>
      <c r="D54" s="534"/>
      <c r="E54" s="534"/>
      <c r="F54" s="373" t="s">
        <v>233</v>
      </c>
      <c r="G54" s="373">
        <v>841401</v>
      </c>
      <c r="H54" s="373">
        <v>3</v>
      </c>
      <c r="I54" s="373">
        <v>45</v>
      </c>
      <c r="J54" s="374"/>
      <c r="K54" s="375">
        <v>2</v>
      </c>
      <c r="L54" s="375"/>
      <c r="M54" s="375"/>
      <c r="N54" s="373">
        <v>2</v>
      </c>
      <c r="O54" s="376"/>
      <c r="P54" s="373">
        <v>90</v>
      </c>
      <c r="Q54" s="373"/>
      <c r="R54" s="374"/>
      <c r="S54" s="540"/>
      <c r="T54" s="368"/>
      <c r="U54" s="368"/>
      <c r="V54" s="368"/>
      <c r="W54" s="368"/>
      <c r="X54" s="368"/>
      <c r="Y54" s="6"/>
      <c r="Z54" s="368"/>
      <c r="AA54" s="368"/>
      <c r="AB54" s="368"/>
      <c r="AC54" s="368"/>
      <c r="AD54" s="15"/>
    </row>
    <row r="55" spans="1:30" ht="31.5" x14ac:dyDescent="0.25">
      <c r="A55" s="534"/>
      <c r="B55" s="534"/>
      <c r="C55" s="537"/>
      <c r="D55" s="534"/>
      <c r="E55" s="534"/>
      <c r="F55" s="373" t="s">
        <v>340</v>
      </c>
      <c r="G55" s="373">
        <v>821402</v>
      </c>
      <c r="H55" s="373">
        <v>3</v>
      </c>
      <c r="I55" s="373">
        <v>45</v>
      </c>
      <c r="J55" s="374"/>
      <c r="K55" s="375"/>
      <c r="L55" s="375"/>
      <c r="M55" s="375"/>
      <c r="N55" s="373"/>
      <c r="O55" s="376"/>
      <c r="P55" s="373">
        <v>45</v>
      </c>
      <c r="Q55" s="373"/>
      <c r="R55" s="374"/>
      <c r="S55" s="540"/>
      <c r="T55" s="368"/>
      <c r="U55" s="368"/>
      <c r="V55" s="368"/>
      <c r="W55" s="368"/>
      <c r="X55" s="368"/>
      <c r="Y55" s="6"/>
      <c r="Z55" s="368"/>
      <c r="AA55" s="368"/>
      <c r="AB55" s="368"/>
      <c r="AC55" s="368"/>
      <c r="AD55" s="15"/>
    </row>
    <row r="56" spans="1:30" x14ac:dyDescent="0.25">
      <c r="A56" s="535"/>
      <c r="B56" s="535"/>
      <c r="C56" s="538"/>
      <c r="D56" s="535"/>
      <c r="E56" s="535"/>
      <c r="F56" s="542" t="s">
        <v>227</v>
      </c>
      <c r="G56" s="543"/>
      <c r="H56" s="543"/>
      <c r="I56" s="543"/>
      <c r="J56" s="543"/>
      <c r="K56" s="543"/>
      <c r="L56" s="543"/>
      <c r="M56" s="543"/>
      <c r="N56" s="543"/>
      <c r="O56" s="544"/>
      <c r="P56" s="377">
        <f>SUM(P52:P55)</f>
        <v>405</v>
      </c>
      <c r="Q56" s="377" t="s">
        <v>227</v>
      </c>
      <c r="R56" s="378">
        <v>53</v>
      </c>
      <c r="S56" s="541"/>
      <c r="T56" s="368"/>
      <c r="U56" s="368"/>
      <c r="V56" s="368"/>
      <c r="W56" s="368"/>
      <c r="X56" s="368"/>
      <c r="Y56" s="6"/>
      <c r="Z56" s="368"/>
      <c r="AA56" s="368"/>
      <c r="AB56" s="368"/>
      <c r="AC56" s="368"/>
      <c r="AD56" s="15"/>
    </row>
    <row r="57" spans="1:30" x14ac:dyDescent="0.25">
      <c r="A57" s="533">
        <v>8</v>
      </c>
      <c r="B57" s="533">
        <v>11006</v>
      </c>
      <c r="C57" s="536" t="s">
        <v>186</v>
      </c>
      <c r="D57" s="533">
        <v>1986</v>
      </c>
      <c r="E57" s="533" t="s">
        <v>202</v>
      </c>
      <c r="F57" s="369" t="s">
        <v>231</v>
      </c>
      <c r="G57" s="369">
        <v>867001</v>
      </c>
      <c r="H57" s="369">
        <v>3</v>
      </c>
      <c r="I57" s="369"/>
      <c r="J57" s="370"/>
      <c r="K57" s="371">
        <v>1</v>
      </c>
      <c r="L57" s="371"/>
      <c r="M57" s="371"/>
      <c r="N57" s="369">
        <v>1</v>
      </c>
      <c r="O57" s="372"/>
      <c r="P57" s="369">
        <v>45</v>
      </c>
      <c r="Q57" s="369"/>
      <c r="R57" s="370"/>
      <c r="S57" s="539">
        <v>405</v>
      </c>
      <c r="T57" s="368"/>
      <c r="U57" s="368"/>
      <c r="V57" s="368"/>
      <c r="W57" s="368"/>
      <c r="X57" s="368"/>
      <c r="Y57" s="6"/>
      <c r="Z57" s="368"/>
      <c r="AA57" s="368"/>
      <c r="AB57" s="368"/>
      <c r="AC57" s="368"/>
      <c r="AD57" s="15"/>
    </row>
    <row r="58" spans="1:30" x14ac:dyDescent="0.25">
      <c r="A58" s="534"/>
      <c r="B58" s="534"/>
      <c r="C58" s="537"/>
      <c r="D58" s="534"/>
      <c r="E58" s="534"/>
      <c r="F58" s="373" t="s">
        <v>229</v>
      </c>
      <c r="G58" s="373">
        <v>864001</v>
      </c>
      <c r="H58" s="373">
        <v>3</v>
      </c>
      <c r="I58" s="373"/>
      <c r="J58" s="374"/>
      <c r="K58" s="375">
        <v>3</v>
      </c>
      <c r="L58" s="375"/>
      <c r="M58" s="375"/>
      <c r="N58" s="373">
        <v>2</v>
      </c>
      <c r="O58" s="376">
        <v>1</v>
      </c>
      <c r="P58" s="373">
        <v>135</v>
      </c>
      <c r="Q58" s="373"/>
      <c r="R58" s="374"/>
      <c r="S58" s="540"/>
      <c r="T58" s="368"/>
      <c r="U58" s="368"/>
      <c r="V58" s="368"/>
      <c r="W58" s="368"/>
      <c r="X58" s="368"/>
      <c r="Y58" s="6"/>
      <c r="Z58" s="368"/>
      <c r="AA58" s="368"/>
      <c r="AB58" s="368"/>
      <c r="AC58" s="368"/>
      <c r="AD58" s="15"/>
    </row>
    <row r="59" spans="1:30" x14ac:dyDescent="0.25">
      <c r="A59" s="534"/>
      <c r="B59" s="534"/>
      <c r="C59" s="537"/>
      <c r="D59" s="534"/>
      <c r="E59" s="534"/>
      <c r="F59" s="373" t="s">
        <v>234</v>
      </c>
      <c r="G59" s="373">
        <v>841406</v>
      </c>
      <c r="H59" s="373">
        <v>3</v>
      </c>
      <c r="I59" s="373">
        <v>45</v>
      </c>
      <c r="J59" s="374"/>
      <c r="K59" s="375">
        <v>2</v>
      </c>
      <c r="L59" s="375"/>
      <c r="M59" s="375"/>
      <c r="N59" s="373"/>
      <c r="O59" s="376">
        <v>2</v>
      </c>
      <c r="P59" s="373">
        <v>90</v>
      </c>
      <c r="Q59" s="373"/>
      <c r="R59" s="374"/>
      <c r="S59" s="540"/>
      <c r="T59" s="368"/>
      <c r="U59" s="368"/>
      <c r="V59" s="368"/>
      <c r="W59" s="368"/>
      <c r="X59" s="368"/>
      <c r="Y59" s="6"/>
      <c r="Z59" s="368"/>
      <c r="AA59" s="368"/>
      <c r="AB59" s="368"/>
      <c r="AC59" s="368"/>
      <c r="AD59" s="15"/>
    </row>
    <row r="60" spans="1:30" x14ac:dyDescent="0.25">
      <c r="A60" s="534"/>
      <c r="B60" s="534"/>
      <c r="C60" s="537"/>
      <c r="D60" s="534"/>
      <c r="E60" s="534"/>
      <c r="F60" s="373" t="s">
        <v>334</v>
      </c>
      <c r="G60" s="373">
        <v>832006</v>
      </c>
      <c r="H60" s="373">
        <v>3</v>
      </c>
      <c r="I60" s="373">
        <v>45</v>
      </c>
      <c r="J60" s="374"/>
      <c r="K60" s="375">
        <v>3</v>
      </c>
      <c r="L60" s="375"/>
      <c r="M60" s="375"/>
      <c r="N60" s="373">
        <v>3</v>
      </c>
      <c r="O60" s="376"/>
      <c r="P60" s="373">
        <v>135</v>
      </c>
      <c r="Q60" s="373"/>
      <c r="R60" s="374"/>
      <c r="S60" s="540"/>
      <c r="T60" s="368"/>
      <c r="U60" s="368"/>
      <c r="V60" s="368"/>
      <c r="W60" s="368"/>
      <c r="X60" s="368"/>
      <c r="Y60" s="6"/>
      <c r="Z60" s="368"/>
      <c r="AA60" s="368"/>
      <c r="AB60" s="368"/>
      <c r="AC60" s="368"/>
      <c r="AD60" s="15"/>
    </row>
    <row r="61" spans="1:30" x14ac:dyDescent="0.25">
      <c r="A61" s="535"/>
      <c r="B61" s="535"/>
      <c r="C61" s="538"/>
      <c r="D61" s="535"/>
      <c r="E61" s="535"/>
      <c r="F61" s="542" t="s">
        <v>227</v>
      </c>
      <c r="G61" s="543"/>
      <c r="H61" s="543"/>
      <c r="I61" s="543"/>
      <c r="J61" s="543"/>
      <c r="K61" s="543"/>
      <c r="L61" s="543"/>
      <c r="M61" s="543"/>
      <c r="N61" s="543"/>
      <c r="O61" s="544"/>
      <c r="P61" s="377">
        <f>SUM(P57:P60)</f>
        <v>405</v>
      </c>
      <c r="Q61" s="377" t="s">
        <v>227</v>
      </c>
      <c r="R61" s="378">
        <v>0</v>
      </c>
      <c r="S61" s="541"/>
      <c r="T61" s="368"/>
      <c r="U61" s="368"/>
      <c r="V61" s="368"/>
      <c r="W61" s="368"/>
      <c r="X61" s="368"/>
      <c r="Y61" s="6"/>
      <c r="Z61" s="368"/>
      <c r="AA61" s="368"/>
      <c r="AB61" s="368"/>
      <c r="AC61" s="368"/>
      <c r="AD61" s="15"/>
    </row>
    <row r="62" spans="1:30" x14ac:dyDescent="0.25">
      <c r="A62" s="533">
        <v>9</v>
      </c>
      <c r="B62" s="533">
        <v>11072</v>
      </c>
      <c r="C62" s="536" t="s">
        <v>183</v>
      </c>
      <c r="D62" s="533">
        <v>1957</v>
      </c>
      <c r="E62" s="533" t="s">
        <v>224</v>
      </c>
      <c r="F62" s="369" t="s">
        <v>232</v>
      </c>
      <c r="G62" s="369">
        <v>867006</v>
      </c>
      <c r="H62" s="369">
        <v>2</v>
      </c>
      <c r="I62" s="369"/>
      <c r="J62" s="370"/>
      <c r="K62" s="371">
        <v>4</v>
      </c>
      <c r="L62" s="371"/>
      <c r="M62" s="371"/>
      <c r="N62" s="369"/>
      <c r="O62" s="372">
        <v>4</v>
      </c>
      <c r="P62" s="369">
        <v>135</v>
      </c>
      <c r="Q62" s="369"/>
      <c r="R62" s="370"/>
      <c r="S62" s="539">
        <v>345</v>
      </c>
      <c r="T62" s="368"/>
      <c r="U62" s="368"/>
      <c r="V62" s="368"/>
      <c r="W62" s="368"/>
      <c r="X62" s="368"/>
      <c r="Y62" s="6"/>
      <c r="Z62" s="368"/>
      <c r="AA62" s="368"/>
      <c r="AB62" s="368"/>
      <c r="AC62" s="368"/>
      <c r="AD62" s="15"/>
    </row>
    <row r="63" spans="1:30" x14ac:dyDescent="0.25">
      <c r="A63" s="534"/>
      <c r="B63" s="534"/>
      <c r="C63" s="537"/>
      <c r="D63" s="534"/>
      <c r="E63" s="534"/>
      <c r="F63" s="373" t="s">
        <v>287</v>
      </c>
      <c r="G63" s="373">
        <v>848308</v>
      </c>
      <c r="H63" s="373">
        <v>3</v>
      </c>
      <c r="I63" s="373">
        <v>45</v>
      </c>
      <c r="J63" s="374"/>
      <c r="K63" s="375">
        <v>1</v>
      </c>
      <c r="L63" s="375"/>
      <c r="M63" s="375"/>
      <c r="N63" s="373">
        <v>1</v>
      </c>
      <c r="O63" s="376"/>
      <c r="P63" s="373">
        <v>45</v>
      </c>
      <c r="Q63" s="373"/>
      <c r="R63" s="374"/>
      <c r="S63" s="540"/>
      <c r="T63" s="368"/>
      <c r="U63" s="368"/>
      <c r="V63" s="368"/>
      <c r="W63" s="368"/>
      <c r="X63" s="368"/>
      <c r="Y63" s="6"/>
      <c r="Z63" s="368"/>
      <c r="AA63" s="368"/>
      <c r="AB63" s="368"/>
      <c r="AC63" s="368"/>
      <c r="AD63" s="15"/>
    </row>
    <row r="64" spans="1:30" x14ac:dyDescent="0.25">
      <c r="A64" s="534"/>
      <c r="B64" s="534"/>
      <c r="C64" s="537"/>
      <c r="D64" s="534"/>
      <c r="E64" s="534"/>
      <c r="F64" s="373" t="s">
        <v>153</v>
      </c>
      <c r="G64" s="373">
        <v>848039</v>
      </c>
      <c r="H64" s="373">
        <v>3</v>
      </c>
      <c r="I64" s="373">
        <v>45</v>
      </c>
      <c r="J64" s="374"/>
      <c r="K64" s="375">
        <v>1</v>
      </c>
      <c r="L64" s="375"/>
      <c r="M64" s="375"/>
      <c r="N64" s="373">
        <v>1</v>
      </c>
      <c r="O64" s="376"/>
      <c r="P64" s="373">
        <v>45</v>
      </c>
      <c r="Q64" s="373"/>
      <c r="R64" s="374"/>
      <c r="S64" s="540"/>
      <c r="T64" s="368"/>
      <c r="U64" s="368"/>
      <c r="V64" s="368"/>
      <c r="W64" s="368"/>
      <c r="X64" s="368"/>
      <c r="Y64" s="6"/>
      <c r="Z64" s="368"/>
      <c r="AA64" s="368"/>
      <c r="AB64" s="368"/>
      <c r="AC64" s="368"/>
      <c r="AD64" s="15"/>
    </row>
    <row r="65" spans="1:30" x14ac:dyDescent="0.25">
      <c r="A65" s="534"/>
      <c r="B65" s="534"/>
      <c r="C65" s="537"/>
      <c r="D65" s="534"/>
      <c r="E65" s="534"/>
      <c r="F65" s="373" t="s">
        <v>286</v>
      </c>
      <c r="G65" s="373">
        <v>848038</v>
      </c>
      <c r="H65" s="373">
        <v>4</v>
      </c>
      <c r="I65" s="373">
        <v>60</v>
      </c>
      <c r="J65" s="374"/>
      <c r="K65" s="375">
        <v>1</v>
      </c>
      <c r="L65" s="375"/>
      <c r="M65" s="375"/>
      <c r="N65" s="373">
        <v>1</v>
      </c>
      <c r="O65" s="376"/>
      <c r="P65" s="373">
        <v>60</v>
      </c>
      <c r="Q65" s="373"/>
      <c r="R65" s="374"/>
      <c r="S65" s="540"/>
      <c r="T65" s="368"/>
      <c r="U65" s="368"/>
      <c r="V65" s="368"/>
      <c r="W65" s="368"/>
      <c r="X65" s="368"/>
      <c r="Y65" s="6"/>
      <c r="Z65" s="368"/>
      <c r="AA65" s="368"/>
      <c r="AB65" s="368"/>
      <c r="AC65" s="368"/>
      <c r="AD65" s="15"/>
    </row>
    <row r="66" spans="1:30" x14ac:dyDescent="0.25">
      <c r="A66" s="534"/>
      <c r="B66" s="534"/>
      <c r="C66" s="537"/>
      <c r="D66" s="534"/>
      <c r="E66" s="534"/>
      <c r="F66" s="373" t="s">
        <v>182</v>
      </c>
      <c r="G66" s="373">
        <v>801043</v>
      </c>
      <c r="H66" s="373">
        <v>2</v>
      </c>
      <c r="I66" s="373">
        <v>30</v>
      </c>
      <c r="J66" s="374"/>
      <c r="K66" s="375">
        <v>2</v>
      </c>
      <c r="L66" s="375"/>
      <c r="M66" s="375"/>
      <c r="N66" s="373">
        <v>2</v>
      </c>
      <c r="O66" s="376"/>
      <c r="P66" s="373">
        <v>60</v>
      </c>
      <c r="Q66" s="373"/>
      <c r="R66" s="374"/>
      <c r="S66" s="540"/>
      <c r="T66" s="368"/>
      <c r="U66" s="368"/>
      <c r="V66" s="368"/>
      <c r="W66" s="368"/>
      <c r="X66" s="368"/>
      <c r="Y66" s="6"/>
      <c r="Z66" s="368"/>
      <c r="AA66" s="368"/>
      <c r="AB66" s="368"/>
      <c r="AC66" s="368"/>
      <c r="AD66" s="15"/>
    </row>
    <row r="67" spans="1:30" x14ac:dyDescent="0.25">
      <c r="A67" s="535"/>
      <c r="B67" s="535"/>
      <c r="C67" s="538"/>
      <c r="D67" s="535"/>
      <c r="E67" s="535"/>
      <c r="F67" s="542" t="s">
        <v>227</v>
      </c>
      <c r="G67" s="543"/>
      <c r="H67" s="543"/>
      <c r="I67" s="543"/>
      <c r="J67" s="543"/>
      <c r="K67" s="543"/>
      <c r="L67" s="543"/>
      <c r="M67" s="543"/>
      <c r="N67" s="543"/>
      <c r="O67" s="544"/>
      <c r="P67" s="377">
        <f>SUM(P62:P66)</f>
        <v>345</v>
      </c>
      <c r="Q67" s="377" t="s">
        <v>227</v>
      </c>
      <c r="R67" s="378">
        <v>0</v>
      </c>
      <c r="S67" s="541"/>
      <c r="T67" s="368"/>
      <c r="U67" s="368"/>
      <c r="V67" s="368"/>
      <c r="W67" s="368"/>
      <c r="X67" s="368"/>
      <c r="Y67" s="6"/>
      <c r="Z67" s="368"/>
      <c r="AA67" s="368"/>
      <c r="AB67" s="368"/>
      <c r="AC67" s="368"/>
      <c r="AD67" s="15"/>
    </row>
    <row r="68" spans="1:30" x14ac:dyDescent="0.25">
      <c r="A68" s="533">
        <v>10</v>
      </c>
      <c r="B68" s="533">
        <v>10873</v>
      </c>
      <c r="C68" s="536" t="s">
        <v>189</v>
      </c>
      <c r="D68" s="533">
        <v>1987</v>
      </c>
      <c r="E68" s="533" t="s">
        <v>204</v>
      </c>
      <c r="F68" s="369" t="s">
        <v>235</v>
      </c>
      <c r="G68" s="369">
        <v>867007</v>
      </c>
      <c r="H68" s="369">
        <v>3</v>
      </c>
      <c r="I68" s="369"/>
      <c r="J68" s="370"/>
      <c r="K68" s="371">
        <v>1</v>
      </c>
      <c r="L68" s="371"/>
      <c r="M68" s="371"/>
      <c r="N68" s="369">
        <v>1</v>
      </c>
      <c r="O68" s="372"/>
      <c r="P68" s="369">
        <v>45</v>
      </c>
      <c r="Q68" s="369"/>
      <c r="R68" s="370"/>
      <c r="S68" s="539">
        <v>450</v>
      </c>
      <c r="T68" s="368"/>
      <c r="U68" s="368"/>
      <c r="V68" s="368"/>
      <c r="W68" s="368"/>
      <c r="X68" s="368"/>
      <c r="Y68" s="6"/>
      <c r="Z68" s="368"/>
      <c r="AA68" s="368"/>
      <c r="AB68" s="368"/>
      <c r="AC68" s="368"/>
      <c r="AD68" s="15"/>
    </row>
    <row r="69" spans="1:30" x14ac:dyDescent="0.25">
      <c r="A69" s="534"/>
      <c r="B69" s="534"/>
      <c r="C69" s="537"/>
      <c r="D69" s="534"/>
      <c r="E69" s="534"/>
      <c r="F69" s="373" t="s">
        <v>234</v>
      </c>
      <c r="G69" s="373">
        <v>864006</v>
      </c>
      <c r="H69" s="373">
        <v>3</v>
      </c>
      <c r="I69" s="373"/>
      <c r="J69" s="374"/>
      <c r="K69" s="375">
        <v>2</v>
      </c>
      <c r="L69" s="375"/>
      <c r="M69" s="375"/>
      <c r="N69" s="373">
        <v>2</v>
      </c>
      <c r="O69" s="376"/>
      <c r="P69" s="373">
        <v>90</v>
      </c>
      <c r="Q69" s="373"/>
      <c r="R69" s="374"/>
      <c r="S69" s="540"/>
      <c r="T69" s="368"/>
      <c r="U69" s="368"/>
      <c r="V69" s="368"/>
      <c r="W69" s="368"/>
      <c r="X69" s="368"/>
      <c r="Y69" s="6"/>
      <c r="Z69" s="368"/>
      <c r="AA69" s="368"/>
      <c r="AB69" s="368"/>
      <c r="AC69" s="368"/>
      <c r="AD69" s="15"/>
    </row>
    <row r="70" spans="1:30" x14ac:dyDescent="0.25">
      <c r="A70" s="534"/>
      <c r="B70" s="534"/>
      <c r="C70" s="537"/>
      <c r="D70" s="534"/>
      <c r="E70" s="534"/>
      <c r="F70" s="373" t="s">
        <v>233</v>
      </c>
      <c r="G70" s="373">
        <v>864005</v>
      </c>
      <c r="H70" s="373">
        <v>3</v>
      </c>
      <c r="I70" s="373"/>
      <c r="J70" s="374"/>
      <c r="K70" s="375">
        <v>1</v>
      </c>
      <c r="L70" s="375"/>
      <c r="M70" s="375"/>
      <c r="N70" s="373"/>
      <c r="O70" s="376">
        <v>1</v>
      </c>
      <c r="P70" s="373">
        <v>45</v>
      </c>
      <c r="Q70" s="373"/>
      <c r="R70" s="374"/>
      <c r="S70" s="540"/>
      <c r="T70" s="368"/>
      <c r="U70" s="368"/>
      <c r="V70" s="368"/>
      <c r="W70" s="368"/>
      <c r="X70" s="368"/>
      <c r="Y70" s="6"/>
      <c r="Z70" s="368"/>
      <c r="AA70" s="368"/>
      <c r="AB70" s="368"/>
      <c r="AC70" s="368"/>
      <c r="AD70" s="15"/>
    </row>
    <row r="71" spans="1:30" x14ac:dyDescent="0.25">
      <c r="A71" s="534"/>
      <c r="B71" s="534"/>
      <c r="C71" s="537"/>
      <c r="D71" s="534"/>
      <c r="E71" s="534"/>
      <c r="F71" s="373" t="s">
        <v>234</v>
      </c>
      <c r="G71" s="373">
        <v>841406</v>
      </c>
      <c r="H71" s="373">
        <v>3</v>
      </c>
      <c r="I71" s="373">
        <v>45</v>
      </c>
      <c r="J71" s="374"/>
      <c r="K71" s="375">
        <v>3</v>
      </c>
      <c r="L71" s="375"/>
      <c r="M71" s="375"/>
      <c r="N71" s="373"/>
      <c r="O71" s="376">
        <v>3</v>
      </c>
      <c r="P71" s="373">
        <v>135</v>
      </c>
      <c r="Q71" s="373"/>
      <c r="R71" s="374"/>
      <c r="S71" s="540"/>
      <c r="T71" s="368"/>
      <c r="U71" s="368"/>
      <c r="V71" s="368"/>
      <c r="W71" s="368"/>
      <c r="X71" s="368"/>
      <c r="Y71" s="6"/>
      <c r="Z71" s="368"/>
      <c r="AA71" s="368"/>
      <c r="AB71" s="368"/>
      <c r="AC71" s="368"/>
      <c r="AD71" s="15"/>
    </row>
    <row r="72" spans="1:30" x14ac:dyDescent="0.25">
      <c r="A72" s="534"/>
      <c r="B72" s="534"/>
      <c r="C72" s="537"/>
      <c r="D72" s="534"/>
      <c r="E72" s="534"/>
      <c r="F72" s="373" t="s">
        <v>233</v>
      </c>
      <c r="G72" s="373">
        <v>841401</v>
      </c>
      <c r="H72" s="373">
        <v>3</v>
      </c>
      <c r="I72" s="373">
        <v>45</v>
      </c>
      <c r="J72" s="374"/>
      <c r="K72" s="375">
        <v>1</v>
      </c>
      <c r="L72" s="375"/>
      <c r="M72" s="375"/>
      <c r="N72" s="373">
        <v>1</v>
      </c>
      <c r="O72" s="376"/>
      <c r="P72" s="373">
        <v>45</v>
      </c>
      <c r="Q72" s="373"/>
      <c r="R72" s="374"/>
      <c r="S72" s="540"/>
      <c r="T72" s="368"/>
      <c r="U72" s="368"/>
      <c r="V72" s="368"/>
      <c r="W72" s="368"/>
      <c r="X72" s="368"/>
      <c r="Y72" s="6"/>
      <c r="Z72" s="368"/>
      <c r="AA72" s="368"/>
      <c r="AB72" s="368"/>
      <c r="AC72" s="368"/>
      <c r="AD72" s="15"/>
    </row>
    <row r="73" spans="1:30" x14ac:dyDescent="0.25">
      <c r="A73" s="534"/>
      <c r="B73" s="534"/>
      <c r="C73" s="537"/>
      <c r="D73" s="534"/>
      <c r="E73" s="534"/>
      <c r="F73" s="373" t="s">
        <v>334</v>
      </c>
      <c r="G73" s="373">
        <v>832006</v>
      </c>
      <c r="H73" s="373">
        <v>3</v>
      </c>
      <c r="I73" s="373">
        <v>45</v>
      </c>
      <c r="J73" s="374"/>
      <c r="K73" s="375">
        <v>1</v>
      </c>
      <c r="L73" s="375"/>
      <c r="M73" s="375"/>
      <c r="N73" s="373">
        <v>1</v>
      </c>
      <c r="O73" s="376"/>
      <c r="P73" s="373">
        <v>45</v>
      </c>
      <c r="Q73" s="373"/>
      <c r="R73" s="374"/>
      <c r="S73" s="540"/>
      <c r="T73" s="368"/>
      <c r="U73" s="368"/>
      <c r="V73" s="368"/>
      <c r="W73" s="368"/>
      <c r="X73" s="368"/>
      <c r="Y73" s="6"/>
      <c r="Z73" s="368"/>
      <c r="AA73" s="368"/>
      <c r="AB73" s="368"/>
      <c r="AC73" s="368"/>
      <c r="AD73" s="15"/>
    </row>
    <row r="74" spans="1:30" x14ac:dyDescent="0.25">
      <c r="A74" s="534"/>
      <c r="B74" s="534"/>
      <c r="C74" s="537"/>
      <c r="D74" s="534"/>
      <c r="E74" s="534"/>
      <c r="F74" s="373" t="s">
        <v>121</v>
      </c>
      <c r="G74" s="373">
        <v>801078</v>
      </c>
      <c r="H74" s="373">
        <v>3</v>
      </c>
      <c r="I74" s="373">
        <v>45</v>
      </c>
      <c r="J74" s="374"/>
      <c r="K74" s="375">
        <v>1</v>
      </c>
      <c r="L74" s="375"/>
      <c r="M74" s="375"/>
      <c r="N74" s="373">
        <v>1</v>
      </c>
      <c r="O74" s="376"/>
      <c r="P74" s="373">
        <v>45</v>
      </c>
      <c r="Q74" s="373"/>
      <c r="R74" s="374"/>
      <c r="S74" s="540"/>
      <c r="T74" s="368"/>
      <c r="U74" s="368"/>
      <c r="V74" s="368"/>
      <c r="W74" s="368"/>
      <c r="X74" s="368"/>
      <c r="Y74" s="6"/>
      <c r="Z74" s="368"/>
      <c r="AA74" s="368"/>
      <c r="AB74" s="368"/>
      <c r="AC74" s="368"/>
      <c r="AD74" s="15"/>
    </row>
    <row r="75" spans="1:30" x14ac:dyDescent="0.25">
      <c r="A75" s="535"/>
      <c r="B75" s="535"/>
      <c r="C75" s="538"/>
      <c r="D75" s="535"/>
      <c r="E75" s="535"/>
      <c r="F75" s="542" t="s">
        <v>227</v>
      </c>
      <c r="G75" s="543"/>
      <c r="H75" s="543"/>
      <c r="I75" s="543"/>
      <c r="J75" s="543"/>
      <c r="K75" s="543"/>
      <c r="L75" s="543"/>
      <c r="M75" s="543"/>
      <c r="N75" s="543"/>
      <c r="O75" s="544"/>
      <c r="P75" s="377">
        <f>SUM(P68:P74)</f>
        <v>450</v>
      </c>
      <c r="Q75" s="377" t="s">
        <v>227</v>
      </c>
      <c r="R75" s="378">
        <v>0</v>
      </c>
      <c r="S75" s="541"/>
      <c r="T75" s="368"/>
      <c r="U75" s="368"/>
      <c r="V75" s="368"/>
      <c r="W75" s="368"/>
      <c r="X75" s="368"/>
      <c r="Y75" s="6"/>
      <c r="Z75" s="368"/>
      <c r="AA75" s="368"/>
      <c r="AB75" s="368"/>
      <c r="AC75" s="368"/>
      <c r="AD75" s="15"/>
    </row>
    <row r="76" spans="1:30" ht="31.5" x14ac:dyDescent="0.25">
      <c r="A76" s="533">
        <v>11</v>
      </c>
      <c r="B76" s="533">
        <v>10985</v>
      </c>
      <c r="C76" s="536" t="s">
        <v>155</v>
      </c>
      <c r="D76" s="533">
        <v>1984</v>
      </c>
      <c r="E76" s="533" t="s">
        <v>206</v>
      </c>
      <c r="F76" s="369" t="s">
        <v>231</v>
      </c>
      <c r="G76" s="369">
        <v>867001</v>
      </c>
      <c r="H76" s="369">
        <v>3</v>
      </c>
      <c r="I76" s="369"/>
      <c r="J76" s="370"/>
      <c r="K76" s="371">
        <v>4</v>
      </c>
      <c r="L76" s="371"/>
      <c r="M76" s="371"/>
      <c r="N76" s="369">
        <v>2</v>
      </c>
      <c r="O76" s="372">
        <v>2</v>
      </c>
      <c r="P76" s="369">
        <v>180</v>
      </c>
      <c r="Q76" s="369" t="s">
        <v>208</v>
      </c>
      <c r="R76" s="370" t="s">
        <v>394</v>
      </c>
      <c r="S76" s="539">
        <v>415</v>
      </c>
      <c r="T76" s="368"/>
      <c r="U76" s="368"/>
      <c r="V76" s="368"/>
      <c r="W76" s="368"/>
      <c r="X76" s="368"/>
      <c r="Y76" s="6"/>
      <c r="Z76" s="368"/>
      <c r="AA76" s="368"/>
      <c r="AB76" s="368"/>
      <c r="AC76" s="368"/>
      <c r="AD76" s="15"/>
    </row>
    <row r="77" spans="1:30" x14ac:dyDescent="0.25">
      <c r="A77" s="534"/>
      <c r="B77" s="534"/>
      <c r="C77" s="537"/>
      <c r="D77" s="534"/>
      <c r="E77" s="534"/>
      <c r="F77" s="373" t="s">
        <v>154</v>
      </c>
      <c r="G77" s="373">
        <v>848311</v>
      </c>
      <c r="H77" s="373">
        <v>2</v>
      </c>
      <c r="I77" s="373">
        <v>30</v>
      </c>
      <c r="J77" s="374"/>
      <c r="K77" s="375">
        <v>1</v>
      </c>
      <c r="L77" s="375"/>
      <c r="M77" s="375"/>
      <c r="N77" s="373">
        <v>1</v>
      </c>
      <c r="O77" s="376"/>
      <c r="P77" s="373">
        <v>30</v>
      </c>
      <c r="Q77" s="373"/>
      <c r="R77" s="374"/>
      <c r="S77" s="540"/>
      <c r="T77" s="368"/>
      <c r="U77" s="368"/>
      <c r="V77" s="368"/>
      <c r="W77" s="368"/>
      <c r="X77" s="368"/>
      <c r="Y77" s="6"/>
      <c r="Z77" s="368"/>
      <c r="AA77" s="368"/>
      <c r="AB77" s="368"/>
      <c r="AC77" s="368"/>
      <c r="AD77" s="15"/>
    </row>
    <row r="78" spans="1:30" x14ac:dyDescent="0.25">
      <c r="A78" s="534"/>
      <c r="B78" s="534"/>
      <c r="C78" s="537"/>
      <c r="D78" s="534"/>
      <c r="E78" s="534"/>
      <c r="F78" s="373" t="s">
        <v>173</v>
      </c>
      <c r="G78" s="373">
        <v>848023</v>
      </c>
      <c r="H78" s="373">
        <v>3</v>
      </c>
      <c r="I78" s="373">
        <v>45</v>
      </c>
      <c r="J78" s="374"/>
      <c r="K78" s="375">
        <v>1</v>
      </c>
      <c r="L78" s="375"/>
      <c r="M78" s="375"/>
      <c r="N78" s="373"/>
      <c r="O78" s="376">
        <v>1</v>
      </c>
      <c r="P78" s="373">
        <v>45</v>
      </c>
      <c r="Q78" s="373"/>
      <c r="R78" s="374"/>
      <c r="S78" s="540"/>
      <c r="T78" s="368"/>
      <c r="U78" s="368"/>
      <c r="V78" s="368"/>
      <c r="W78" s="368"/>
      <c r="X78" s="368"/>
      <c r="Y78" s="6"/>
      <c r="Z78" s="368"/>
      <c r="AA78" s="368"/>
      <c r="AB78" s="368"/>
      <c r="AC78" s="368"/>
      <c r="AD78" s="15"/>
    </row>
    <row r="79" spans="1:30" x14ac:dyDescent="0.25">
      <c r="A79" s="534"/>
      <c r="B79" s="534"/>
      <c r="C79" s="537"/>
      <c r="D79" s="534"/>
      <c r="E79" s="534"/>
      <c r="F79" s="373" t="s">
        <v>248</v>
      </c>
      <c r="G79" s="373">
        <v>833006</v>
      </c>
      <c r="H79" s="373">
        <v>3</v>
      </c>
      <c r="I79" s="373">
        <v>45</v>
      </c>
      <c r="J79" s="374"/>
      <c r="K79" s="375">
        <v>2</v>
      </c>
      <c r="L79" s="375"/>
      <c r="M79" s="375"/>
      <c r="N79" s="373">
        <v>2</v>
      </c>
      <c r="O79" s="376"/>
      <c r="P79" s="373">
        <v>90</v>
      </c>
      <c r="Q79" s="373"/>
      <c r="R79" s="374"/>
      <c r="S79" s="540"/>
      <c r="T79" s="368"/>
      <c r="U79" s="368"/>
      <c r="V79" s="368"/>
      <c r="W79" s="368"/>
      <c r="X79" s="368"/>
      <c r="Y79" s="6"/>
      <c r="Z79" s="368"/>
      <c r="AA79" s="368"/>
      <c r="AB79" s="368"/>
      <c r="AC79" s="368"/>
      <c r="AD79" s="15"/>
    </row>
    <row r="80" spans="1:30" x14ac:dyDescent="0.25">
      <c r="A80" s="535"/>
      <c r="B80" s="535"/>
      <c r="C80" s="538"/>
      <c r="D80" s="535"/>
      <c r="E80" s="535"/>
      <c r="F80" s="542" t="s">
        <v>227</v>
      </c>
      <c r="G80" s="543"/>
      <c r="H80" s="543"/>
      <c r="I80" s="543"/>
      <c r="J80" s="543"/>
      <c r="K80" s="543"/>
      <c r="L80" s="543"/>
      <c r="M80" s="543"/>
      <c r="N80" s="543"/>
      <c r="O80" s="544"/>
      <c r="P80" s="377">
        <f>SUM(P76:P79)</f>
        <v>345</v>
      </c>
      <c r="Q80" s="377" t="s">
        <v>227</v>
      </c>
      <c r="R80" s="378">
        <v>70</v>
      </c>
      <c r="S80" s="541"/>
      <c r="T80" s="368"/>
      <c r="U80" s="368"/>
      <c r="V80" s="368"/>
      <c r="W80" s="368"/>
      <c r="X80" s="368"/>
      <c r="Y80" s="6"/>
      <c r="Z80" s="368"/>
      <c r="AA80" s="368"/>
      <c r="AB80" s="368"/>
      <c r="AC80" s="368"/>
      <c r="AD80" s="15"/>
    </row>
    <row r="81" spans="1:30" x14ac:dyDescent="0.25">
      <c r="A81" s="533">
        <v>12</v>
      </c>
      <c r="B81" s="533">
        <v>10874</v>
      </c>
      <c r="C81" s="536" t="s">
        <v>179</v>
      </c>
      <c r="D81" s="533">
        <v>1978</v>
      </c>
      <c r="E81" s="533" t="s">
        <v>309</v>
      </c>
      <c r="F81" s="369" t="s">
        <v>181</v>
      </c>
      <c r="G81" s="369">
        <v>848401</v>
      </c>
      <c r="H81" s="369">
        <v>5</v>
      </c>
      <c r="I81" s="369">
        <v>75</v>
      </c>
      <c r="J81" s="370"/>
      <c r="K81" s="371">
        <v>2</v>
      </c>
      <c r="L81" s="371"/>
      <c r="M81" s="371"/>
      <c r="N81" s="369">
        <v>2</v>
      </c>
      <c r="O81" s="372"/>
      <c r="P81" s="369">
        <v>150</v>
      </c>
      <c r="Q81" s="369" t="s">
        <v>365</v>
      </c>
      <c r="R81" s="370" t="s">
        <v>393</v>
      </c>
      <c r="S81" s="539">
        <v>483</v>
      </c>
      <c r="T81" s="368"/>
      <c r="U81" s="368"/>
      <c r="V81" s="368"/>
      <c r="W81" s="368"/>
      <c r="X81" s="368"/>
      <c r="Y81" s="6"/>
      <c r="Z81" s="368"/>
      <c r="AA81" s="368"/>
      <c r="AB81" s="368"/>
      <c r="AC81" s="368"/>
      <c r="AD81" s="15"/>
    </row>
    <row r="82" spans="1:30" ht="31.5" x14ac:dyDescent="0.25">
      <c r="A82" s="534"/>
      <c r="B82" s="534"/>
      <c r="C82" s="537"/>
      <c r="D82" s="534"/>
      <c r="E82" s="534"/>
      <c r="F82" s="373" t="s">
        <v>132</v>
      </c>
      <c r="G82" s="373">
        <v>841402</v>
      </c>
      <c r="H82" s="373">
        <v>3</v>
      </c>
      <c r="I82" s="373">
        <v>45</v>
      </c>
      <c r="J82" s="374"/>
      <c r="K82" s="375">
        <v>3</v>
      </c>
      <c r="L82" s="375"/>
      <c r="M82" s="375"/>
      <c r="N82" s="373">
        <v>3</v>
      </c>
      <c r="O82" s="376"/>
      <c r="P82" s="373">
        <v>135</v>
      </c>
      <c r="Q82" s="373" t="s">
        <v>366</v>
      </c>
      <c r="R82" s="374" t="s">
        <v>367</v>
      </c>
      <c r="S82" s="540"/>
      <c r="T82" s="368"/>
      <c r="U82" s="368"/>
      <c r="V82" s="368"/>
      <c r="W82" s="368"/>
      <c r="X82" s="368"/>
      <c r="Y82" s="6"/>
      <c r="Z82" s="368"/>
      <c r="AA82" s="368"/>
      <c r="AB82" s="368"/>
      <c r="AC82" s="368"/>
      <c r="AD82" s="15"/>
    </row>
    <row r="83" spans="1:30" x14ac:dyDescent="0.25">
      <c r="A83" s="534"/>
      <c r="B83" s="534"/>
      <c r="C83" s="537"/>
      <c r="D83" s="534"/>
      <c r="E83" s="534"/>
      <c r="F83" s="373" t="s">
        <v>338</v>
      </c>
      <c r="G83" s="373">
        <v>801401</v>
      </c>
      <c r="H83" s="373">
        <v>5</v>
      </c>
      <c r="I83" s="373">
        <v>75</v>
      </c>
      <c r="J83" s="374"/>
      <c r="K83" s="375">
        <v>1</v>
      </c>
      <c r="L83" s="375"/>
      <c r="M83" s="375"/>
      <c r="N83" s="373">
        <v>1</v>
      </c>
      <c r="O83" s="376"/>
      <c r="P83" s="373">
        <v>75</v>
      </c>
      <c r="Q83" s="373"/>
      <c r="R83" s="374"/>
      <c r="S83" s="540"/>
      <c r="T83" s="368"/>
      <c r="U83" s="368"/>
      <c r="V83" s="368"/>
      <c r="W83" s="368"/>
      <c r="X83" s="368"/>
      <c r="Y83" s="6"/>
      <c r="Z83" s="368"/>
      <c r="AA83" s="368"/>
      <c r="AB83" s="368"/>
      <c r="AC83" s="368"/>
      <c r="AD83" s="15"/>
    </row>
    <row r="84" spans="1:30" x14ac:dyDescent="0.25">
      <c r="A84" s="535"/>
      <c r="B84" s="535"/>
      <c r="C84" s="538"/>
      <c r="D84" s="535"/>
      <c r="E84" s="535"/>
      <c r="F84" s="542" t="s">
        <v>227</v>
      </c>
      <c r="G84" s="543"/>
      <c r="H84" s="543"/>
      <c r="I84" s="543"/>
      <c r="J84" s="543"/>
      <c r="K84" s="543"/>
      <c r="L84" s="543"/>
      <c r="M84" s="543"/>
      <c r="N84" s="543"/>
      <c r="O84" s="544"/>
      <c r="P84" s="377">
        <f>SUM(P81:P83)</f>
        <v>360</v>
      </c>
      <c r="Q84" s="377" t="s">
        <v>227</v>
      </c>
      <c r="R84" s="378">
        <v>123</v>
      </c>
      <c r="S84" s="541"/>
      <c r="T84" s="368"/>
      <c r="U84" s="368"/>
      <c r="V84" s="368"/>
      <c r="W84" s="368"/>
      <c r="X84" s="368"/>
      <c r="Y84" s="6"/>
      <c r="Z84" s="368"/>
      <c r="AA84" s="368"/>
      <c r="AB84" s="368"/>
      <c r="AC84" s="368"/>
      <c r="AD84" s="15"/>
    </row>
    <row r="85" spans="1:30" x14ac:dyDescent="0.25">
      <c r="A85" s="533">
        <v>13</v>
      </c>
      <c r="B85" s="533">
        <v>11051</v>
      </c>
      <c r="C85" s="536" t="s">
        <v>178</v>
      </c>
      <c r="D85" s="533">
        <v>1980</v>
      </c>
      <c r="E85" s="533" t="s">
        <v>206</v>
      </c>
      <c r="F85" s="369" t="s">
        <v>236</v>
      </c>
      <c r="G85" s="369">
        <v>867008</v>
      </c>
      <c r="H85" s="369">
        <v>2</v>
      </c>
      <c r="I85" s="369"/>
      <c r="J85" s="370"/>
      <c r="K85" s="371">
        <v>8</v>
      </c>
      <c r="L85" s="371"/>
      <c r="M85" s="371"/>
      <c r="N85" s="369">
        <v>3</v>
      </c>
      <c r="O85" s="372">
        <v>5</v>
      </c>
      <c r="P85" s="369">
        <v>240</v>
      </c>
      <c r="Q85" s="369"/>
      <c r="R85" s="370"/>
      <c r="S85" s="539">
        <v>420</v>
      </c>
      <c r="T85" s="368"/>
      <c r="U85" s="368"/>
      <c r="V85" s="368"/>
      <c r="W85" s="368"/>
      <c r="X85" s="368"/>
      <c r="Y85" s="6"/>
      <c r="Z85" s="368"/>
      <c r="AA85" s="368"/>
      <c r="AB85" s="368"/>
      <c r="AC85" s="368"/>
      <c r="AD85" s="15"/>
    </row>
    <row r="86" spans="1:30" x14ac:dyDescent="0.25">
      <c r="A86" s="534"/>
      <c r="B86" s="534"/>
      <c r="C86" s="537"/>
      <c r="D86" s="534"/>
      <c r="E86" s="534"/>
      <c r="F86" s="373" t="s">
        <v>132</v>
      </c>
      <c r="G86" s="373">
        <v>864007</v>
      </c>
      <c r="H86" s="373">
        <v>3</v>
      </c>
      <c r="I86" s="373"/>
      <c r="J86" s="374"/>
      <c r="K86" s="375">
        <v>1</v>
      </c>
      <c r="L86" s="375"/>
      <c r="M86" s="375"/>
      <c r="N86" s="373">
        <v>1</v>
      </c>
      <c r="O86" s="376"/>
      <c r="P86" s="373">
        <v>45</v>
      </c>
      <c r="Q86" s="373"/>
      <c r="R86" s="374"/>
      <c r="S86" s="540"/>
      <c r="T86" s="368"/>
      <c r="U86" s="368"/>
      <c r="V86" s="368"/>
      <c r="W86" s="368"/>
      <c r="X86" s="368"/>
      <c r="Y86" s="6"/>
      <c r="Z86" s="368"/>
      <c r="AA86" s="368"/>
      <c r="AB86" s="368"/>
      <c r="AC86" s="368"/>
      <c r="AD86" s="15"/>
    </row>
    <row r="87" spans="1:30" x14ac:dyDescent="0.25">
      <c r="A87" s="534"/>
      <c r="B87" s="534"/>
      <c r="C87" s="537"/>
      <c r="D87" s="534"/>
      <c r="E87" s="534"/>
      <c r="F87" s="373" t="s">
        <v>324</v>
      </c>
      <c r="G87" s="373">
        <v>841405</v>
      </c>
      <c r="H87" s="373">
        <v>3</v>
      </c>
      <c r="I87" s="373">
        <v>45</v>
      </c>
      <c r="J87" s="374"/>
      <c r="K87" s="375">
        <v>2</v>
      </c>
      <c r="L87" s="375"/>
      <c r="M87" s="375"/>
      <c r="N87" s="373"/>
      <c r="O87" s="376">
        <v>2</v>
      </c>
      <c r="P87" s="373">
        <v>90</v>
      </c>
      <c r="Q87" s="373"/>
      <c r="R87" s="374"/>
      <c r="S87" s="540"/>
      <c r="T87" s="368"/>
      <c r="U87" s="368"/>
      <c r="V87" s="368"/>
      <c r="W87" s="368"/>
      <c r="X87" s="368"/>
      <c r="Y87" s="6"/>
      <c r="Z87" s="368"/>
      <c r="AA87" s="368"/>
      <c r="AB87" s="368"/>
      <c r="AC87" s="368"/>
      <c r="AD87" s="15"/>
    </row>
    <row r="88" spans="1:30" x14ac:dyDescent="0.25">
      <c r="A88" s="534"/>
      <c r="B88" s="534"/>
      <c r="C88" s="537"/>
      <c r="D88" s="534"/>
      <c r="E88" s="534"/>
      <c r="F88" s="373" t="s">
        <v>133</v>
      </c>
      <c r="G88" s="373">
        <v>801301</v>
      </c>
      <c r="H88" s="373">
        <v>3</v>
      </c>
      <c r="I88" s="373">
        <v>45</v>
      </c>
      <c r="J88" s="374"/>
      <c r="K88" s="375">
        <v>1</v>
      </c>
      <c r="L88" s="375"/>
      <c r="M88" s="375"/>
      <c r="N88" s="373">
        <v>1</v>
      </c>
      <c r="O88" s="376"/>
      <c r="P88" s="373">
        <v>45</v>
      </c>
      <c r="Q88" s="373"/>
      <c r="R88" s="374"/>
      <c r="S88" s="540"/>
      <c r="T88" s="368"/>
      <c r="U88" s="368"/>
      <c r="V88" s="368"/>
      <c r="W88" s="368"/>
      <c r="X88" s="368"/>
      <c r="Y88" s="6"/>
      <c r="Z88" s="368"/>
      <c r="AA88" s="368"/>
      <c r="AB88" s="368"/>
      <c r="AC88" s="368"/>
      <c r="AD88" s="15"/>
    </row>
    <row r="89" spans="1:30" x14ac:dyDescent="0.25">
      <c r="A89" s="535"/>
      <c r="B89" s="535"/>
      <c r="C89" s="538"/>
      <c r="D89" s="535"/>
      <c r="E89" s="535"/>
      <c r="F89" s="542" t="s">
        <v>227</v>
      </c>
      <c r="G89" s="543"/>
      <c r="H89" s="543"/>
      <c r="I89" s="543"/>
      <c r="J89" s="543"/>
      <c r="K89" s="543"/>
      <c r="L89" s="543"/>
      <c r="M89" s="543"/>
      <c r="N89" s="543"/>
      <c r="O89" s="544"/>
      <c r="P89" s="377">
        <f>SUM(P85:P88)</f>
        <v>420</v>
      </c>
      <c r="Q89" s="377" t="s">
        <v>227</v>
      </c>
      <c r="R89" s="378">
        <v>0</v>
      </c>
      <c r="S89" s="541"/>
      <c r="T89" s="368"/>
      <c r="U89" s="368"/>
      <c r="V89" s="368"/>
      <c r="W89" s="368"/>
      <c r="X89" s="368"/>
      <c r="Y89" s="6"/>
      <c r="Z89" s="368"/>
      <c r="AA89" s="368"/>
      <c r="AB89" s="368"/>
      <c r="AC89" s="368"/>
      <c r="AD89" s="15"/>
    </row>
    <row r="90" spans="1:30" x14ac:dyDescent="0.25">
      <c r="A90" s="533">
        <v>14</v>
      </c>
      <c r="B90" s="533">
        <v>11202</v>
      </c>
      <c r="C90" s="536" t="s">
        <v>148</v>
      </c>
      <c r="D90" s="533">
        <v>1977</v>
      </c>
      <c r="E90" s="533" t="s">
        <v>206</v>
      </c>
      <c r="F90" s="369" t="s">
        <v>235</v>
      </c>
      <c r="G90" s="369">
        <v>867007</v>
      </c>
      <c r="H90" s="369">
        <v>3</v>
      </c>
      <c r="I90" s="369"/>
      <c r="J90" s="370"/>
      <c r="K90" s="371">
        <v>2</v>
      </c>
      <c r="L90" s="371"/>
      <c r="M90" s="371"/>
      <c r="N90" s="369">
        <v>2</v>
      </c>
      <c r="O90" s="372"/>
      <c r="P90" s="369">
        <v>90</v>
      </c>
      <c r="Q90" s="369"/>
      <c r="R90" s="370"/>
      <c r="S90" s="539">
        <v>420</v>
      </c>
      <c r="T90" s="368"/>
      <c r="U90" s="368"/>
      <c r="V90" s="368"/>
      <c r="W90" s="368"/>
      <c r="X90" s="368"/>
      <c r="Y90" s="6"/>
      <c r="Z90" s="368"/>
      <c r="AA90" s="368"/>
      <c r="AB90" s="368"/>
      <c r="AC90" s="368"/>
      <c r="AD90" s="15"/>
    </row>
    <row r="91" spans="1:30" x14ac:dyDescent="0.25">
      <c r="A91" s="534"/>
      <c r="B91" s="534"/>
      <c r="C91" s="537"/>
      <c r="D91" s="534"/>
      <c r="E91" s="534"/>
      <c r="F91" s="373" t="s">
        <v>233</v>
      </c>
      <c r="G91" s="373">
        <v>864005</v>
      </c>
      <c r="H91" s="373">
        <v>3</v>
      </c>
      <c r="I91" s="373"/>
      <c r="J91" s="374"/>
      <c r="K91" s="375">
        <v>1</v>
      </c>
      <c r="L91" s="375"/>
      <c r="M91" s="375"/>
      <c r="N91" s="373">
        <v>1</v>
      </c>
      <c r="O91" s="376"/>
      <c r="P91" s="373">
        <v>45</v>
      </c>
      <c r="Q91" s="373"/>
      <c r="R91" s="374"/>
      <c r="S91" s="540"/>
      <c r="T91" s="368"/>
      <c r="U91" s="368"/>
      <c r="V91" s="368"/>
      <c r="W91" s="368"/>
      <c r="X91" s="368"/>
      <c r="Y91" s="6"/>
      <c r="Z91" s="368"/>
      <c r="AA91" s="368"/>
      <c r="AB91" s="368"/>
      <c r="AC91" s="368"/>
      <c r="AD91" s="15"/>
    </row>
    <row r="92" spans="1:30" x14ac:dyDescent="0.25">
      <c r="A92" s="534"/>
      <c r="B92" s="534"/>
      <c r="C92" s="537"/>
      <c r="D92" s="534"/>
      <c r="E92" s="534"/>
      <c r="F92" s="373" t="s">
        <v>229</v>
      </c>
      <c r="G92" s="373">
        <v>864001</v>
      </c>
      <c r="H92" s="373">
        <v>3</v>
      </c>
      <c r="I92" s="373"/>
      <c r="J92" s="374"/>
      <c r="K92" s="375">
        <v>5</v>
      </c>
      <c r="L92" s="375"/>
      <c r="M92" s="375"/>
      <c r="N92" s="373">
        <v>4</v>
      </c>
      <c r="O92" s="376">
        <v>1</v>
      </c>
      <c r="P92" s="373">
        <v>225</v>
      </c>
      <c r="Q92" s="373"/>
      <c r="R92" s="374"/>
      <c r="S92" s="540"/>
      <c r="T92" s="368"/>
      <c r="U92" s="368"/>
      <c r="V92" s="368"/>
      <c r="W92" s="368"/>
      <c r="X92" s="368"/>
      <c r="Y92" s="6"/>
      <c r="Z92" s="368"/>
      <c r="AA92" s="368"/>
      <c r="AB92" s="368"/>
      <c r="AC92" s="368"/>
      <c r="AD92" s="15"/>
    </row>
    <row r="93" spans="1:30" x14ac:dyDescent="0.25">
      <c r="A93" s="534"/>
      <c r="B93" s="534"/>
      <c r="C93" s="537"/>
      <c r="D93" s="534"/>
      <c r="E93" s="534"/>
      <c r="F93" s="373" t="s">
        <v>273</v>
      </c>
      <c r="G93" s="373">
        <v>801411</v>
      </c>
      <c r="H93" s="373">
        <v>1</v>
      </c>
      <c r="I93" s="373">
        <v>30</v>
      </c>
      <c r="J93" s="374"/>
      <c r="K93" s="375">
        <v>1</v>
      </c>
      <c r="L93" s="375"/>
      <c r="M93" s="375"/>
      <c r="N93" s="373">
        <v>1</v>
      </c>
      <c r="O93" s="376"/>
      <c r="P93" s="373">
        <v>15</v>
      </c>
      <c r="Q93" s="373"/>
      <c r="R93" s="374"/>
      <c r="S93" s="540"/>
      <c r="T93" s="368"/>
      <c r="U93" s="368"/>
      <c r="V93" s="368"/>
      <c r="W93" s="368"/>
      <c r="X93" s="368"/>
      <c r="Y93" s="6"/>
      <c r="Z93" s="368"/>
      <c r="AA93" s="368"/>
      <c r="AB93" s="368"/>
      <c r="AC93" s="368"/>
      <c r="AD93" s="15"/>
    </row>
    <row r="94" spans="1:30" x14ac:dyDescent="0.25">
      <c r="A94" s="534"/>
      <c r="B94" s="534"/>
      <c r="C94" s="537"/>
      <c r="D94" s="534"/>
      <c r="E94" s="534"/>
      <c r="F94" s="373" t="s">
        <v>281</v>
      </c>
      <c r="G94" s="373">
        <v>801024</v>
      </c>
      <c r="H94" s="373">
        <v>3</v>
      </c>
      <c r="I94" s="373">
        <v>45</v>
      </c>
      <c r="J94" s="374"/>
      <c r="K94" s="375">
        <v>1</v>
      </c>
      <c r="L94" s="375"/>
      <c r="M94" s="375"/>
      <c r="N94" s="373"/>
      <c r="O94" s="376">
        <v>1</v>
      </c>
      <c r="P94" s="373">
        <v>45</v>
      </c>
      <c r="Q94" s="373"/>
      <c r="R94" s="374"/>
      <c r="S94" s="540"/>
      <c r="T94" s="368"/>
      <c r="U94" s="368"/>
      <c r="V94" s="368"/>
      <c r="W94" s="368"/>
      <c r="X94" s="368"/>
      <c r="Y94" s="6"/>
      <c r="Z94" s="368"/>
      <c r="AA94" s="368"/>
      <c r="AB94" s="368"/>
      <c r="AC94" s="368"/>
      <c r="AD94" s="15"/>
    </row>
    <row r="95" spans="1:30" x14ac:dyDescent="0.25">
      <c r="A95" s="535"/>
      <c r="B95" s="535"/>
      <c r="C95" s="538"/>
      <c r="D95" s="535"/>
      <c r="E95" s="535"/>
      <c r="F95" s="542" t="s">
        <v>227</v>
      </c>
      <c r="G95" s="543"/>
      <c r="H95" s="543"/>
      <c r="I95" s="543"/>
      <c r="J95" s="543"/>
      <c r="K95" s="543"/>
      <c r="L95" s="543"/>
      <c r="M95" s="543"/>
      <c r="N95" s="543"/>
      <c r="O95" s="544"/>
      <c r="P95" s="377">
        <f>SUM(P90:P94)</f>
        <v>420</v>
      </c>
      <c r="Q95" s="377" t="s">
        <v>227</v>
      </c>
      <c r="R95" s="378">
        <v>0</v>
      </c>
      <c r="S95" s="541"/>
      <c r="T95" s="368"/>
      <c r="U95" s="368"/>
      <c r="V95" s="368"/>
      <c r="W95" s="368"/>
      <c r="X95" s="368"/>
      <c r="Y95" s="6"/>
      <c r="Z95" s="368"/>
      <c r="AA95" s="368"/>
      <c r="AB95" s="368"/>
      <c r="AC95" s="368"/>
      <c r="AD95" s="15"/>
    </row>
    <row r="96" spans="1:30" x14ac:dyDescent="0.25">
      <c r="A96" s="533">
        <v>15</v>
      </c>
      <c r="B96" s="533">
        <v>10126</v>
      </c>
      <c r="C96" s="536" t="s">
        <v>223</v>
      </c>
      <c r="D96" s="533">
        <v>1966</v>
      </c>
      <c r="E96" s="533" t="s">
        <v>224</v>
      </c>
      <c r="F96" s="369" t="s">
        <v>141</v>
      </c>
      <c r="G96" s="369">
        <v>848002</v>
      </c>
      <c r="H96" s="369">
        <v>6</v>
      </c>
      <c r="I96" s="369">
        <v>90</v>
      </c>
      <c r="J96" s="370"/>
      <c r="K96" s="371">
        <v>1</v>
      </c>
      <c r="L96" s="371"/>
      <c r="M96" s="371"/>
      <c r="N96" s="369"/>
      <c r="O96" s="372">
        <v>1</v>
      </c>
      <c r="P96" s="369">
        <v>60</v>
      </c>
      <c r="Q96" s="369" t="s">
        <v>389</v>
      </c>
      <c r="R96" s="370" t="s">
        <v>396</v>
      </c>
      <c r="S96" s="539">
        <v>550</v>
      </c>
      <c r="T96" s="368"/>
      <c r="U96" s="368"/>
      <c r="V96" s="368"/>
      <c r="W96" s="368"/>
      <c r="X96" s="368"/>
      <c r="Y96" s="6"/>
      <c r="Z96" s="368"/>
      <c r="AA96" s="368"/>
      <c r="AB96" s="368"/>
      <c r="AC96" s="368"/>
      <c r="AD96" s="15"/>
    </row>
    <row r="97" spans="1:30" ht="31.5" x14ac:dyDescent="0.25">
      <c r="A97" s="534"/>
      <c r="B97" s="534"/>
      <c r="C97" s="537"/>
      <c r="D97" s="534"/>
      <c r="E97" s="534"/>
      <c r="F97" s="373" t="s">
        <v>185</v>
      </c>
      <c r="G97" s="373">
        <v>801404</v>
      </c>
      <c r="H97" s="373">
        <v>6</v>
      </c>
      <c r="I97" s="373">
        <v>90</v>
      </c>
      <c r="J97" s="374"/>
      <c r="K97" s="375">
        <v>1</v>
      </c>
      <c r="L97" s="375"/>
      <c r="M97" s="375"/>
      <c r="N97" s="373"/>
      <c r="O97" s="376">
        <v>1</v>
      </c>
      <c r="P97" s="373">
        <v>60</v>
      </c>
      <c r="Q97" s="373" t="s">
        <v>388</v>
      </c>
      <c r="R97" s="374" t="s">
        <v>393</v>
      </c>
      <c r="S97" s="540"/>
      <c r="T97" s="368"/>
      <c r="U97" s="368"/>
      <c r="V97" s="368"/>
      <c r="W97" s="368"/>
      <c r="X97" s="368"/>
      <c r="Y97" s="6"/>
      <c r="Z97" s="368"/>
      <c r="AA97" s="368"/>
      <c r="AB97" s="368"/>
      <c r="AC97" s="368"/>
      <c r="AD97" s="15"/>
    </row>
    <row r="98" spans="1:30" ht="31.5" x14ac:dyDescent="0.25">
      <c r="A98" s="534"/>
      <c r="B98" s="534"/>
      <c r="C98" s="537"/>
      <c r="D98" s="534"/>
      <c r="E98" s="534"/>
      <c r="F98" s="373"/>
      <c r="G98" s="373"/>
      <c r="H98" s="373"/>
      <c r="I98" s="373"/>
      <c r="J98" s="374"/>
      <c r="K98" s="375"/>
      <c r="L98" s="375"/>
      <c r="M98" s="375"/>
      <c r="N98" s="373"/>
      <c r="O98" s="376"/>
      <c r="P98" s="373"/>
      <c r="Q98" s="373" t="s">
        <v>387</v>
      </c>
      <c r="R98" s="374" t="s">
        <v>386</v>
      </c>
      <c r="S98" s="540"/>
      <c r="T98" s="368"/>
      <c r="U98" s="368"/>
      <c r="V98" s="368"/>
      <c r="W98" s="368"/>
      <c r="X98" s="368"/>
      <c r="Y98" s="6"/>
      <c r="Z98" s="368"/>
      <c r="AA98" s="368"/>
      <c r="AB98" s="368"/>
      <c r="AC98" s="368"/>
      <c r="AD98" s="15"/>
    </row>
    <row r="99" spans="1:30" x14ac:dyDescent="0.25">
      <c r="A99" s="535"/>
      <c r="B99" s="535"/>
      <c r="C99" s="538"/>
      <c r="D99" s="535"/>
      <c r="E99" s="535"/>
      <c r="F99" s="542" t="s">
        <v>227</v>
      </c>
      <c r="G99" s="543"/>
      <c r="H99" s="543"/>
      <c r="I99" s="543"/>
      <c r="J99" s="543"/>
      <c r="K99" s="543"/>
      <c r="L99" s="543"/>
      <c r="M99" s="543"/>
      <c r="N99" s="543"/>
      <c r="O99" s="544"/>
      <c r="P99" s="377">
        <f>SUM(P96:P98)</f>
        <v>120</v>
      </c>
      <c r="Q99" s="377" t="s">
        <v>227</v>
      </c>
      <c r="R99" s="378">
        <v>430</v>
      </c>
      <c r="S99" s="541"/>
      <c r="T99" s="368"/>
      <c r="U99" s="368"/>
      <c r="V99" s="368"/>
      <c r="W99" s="368"/>
      <c r="X99" s="368"/>
      <c r="Y99" s="6"/>
      <c r="Z99" s="368"/>
      <c r="AA99" s="368"/>
      <c r="AB99" s="368"/>
      <c r="AC99" s="368"/>
      <c r="AD99" s="15"/>
    </row>
    <row r="100" spans="1:30" ht="31.5" x14ac:dyDescent="0.25">
      <c r="A100" s="533">
        <v>16</v>
      </c>
      <c r="B100" s="533">
        <v>10933</v>
      </c>
      <c r="C100" s="536" t="s">
        <v>193</v>
      </c>
      <c r="D100" s="533">
        <v>1980</v>
      </c>
      <c r="E100" s="533" t="s">
        <v>214</v>
      </c>
      <c r="F100" s="369" t="s">
        <v>172</v>
      </c>
      <c r="G100" s="369">
        <v>848036</v>
      </c>
      <c r="H100" s="369">
        <v>4</v>
      </c>
      <c r="I100" s="369">
        <v>60</v>
      </c>
      <c r="J100" s="370"/>
      <c r="K100" s="371">
        <v>1</v>
      </c>
      <c r="L100" s="371"/>
      <c r="M100" s="371"/>
      <c r="N100" s="369"/>
      <c r="O100" s="372">
        <v>1</v>
      </c>
      <c r="P100" s="369">
        <v>60</v>
      </c>
      <c r="Q100" s="369" t="s">
        <v>375</v>
      </c>
      <c r="R100" s="370" t="s">
        <v>394</v>
      </c>
      <c r="S100" s="539">
        <v>535</v>
      </c>
      <c r="T100" s="368"/>
      <c r="U100" s="368"/>
      <c r="V100" s="368"/>
      <c r="W100" s="368"/>
      <c r="X100" s="368"/>
      <c r="Y100" s="6"/>
      <c r="Z100" s="368"/>
      <c r="AA100" s="368"/>
      <c r="AB100" s="368"/>
      <c r="AC100" s="368"/>
      <c r="AD100" s="15"/>
    </row>
    <row r="101" spans="1:30" x14ac:dyDescent="0.25">
      <c r="A101" s="534"/>
      <c r="B101" s="534"/>
      <c r="C101" s="537"/>
      <c r="D101" s="534"/>
      <c r="E101" s="534"/>
      <c r="F101" s="373" t="s">
        <v>196</v>
      </c>
      <c r="G101" s="373">
        <v>848015</v>
      </c>
      <c r="H101" s="373">
        <v>4</v>
      </c>
      <c r="I101" s="373">
        <v>60</v>
      </c>
      <c r="J101" s="374"/>
      <c r="K101" s="375">
        <v>1</v>
      </c>
      <c r="L101" s="375"/>
      <c r="M101" s="375"/>
      <c r="N101" s="373"/>
      <c r="O101" s="376">
        <v>1</v>
      </c>
      <c r="P101" s="373">
        <v>60</v>
      </c>
      <c r="Q101" s="373" t="s">
        <v>385</v>
      </c>
      <c r="R101" s="374">
        <v>0</v>
      </c>
      <c r="S101" s="540"/>
      <c r="T101" s="368"/>
      <c r="U101" s="368"/>
      <c r="V101" s="368"/>
      <c r="W101" s="368"/>
      <c r="X101" s="368"/>
      <c r="Y101" s="6"/>
      <c r="Z101" s="368"/>
      <c r="AA101" s="368"/>
      <c r="AB101" s="368"/>
      <c r="AC101" s="368"/>
      <c r="AD101" s="15"/>
    </row>
    <row r="102" spans="1:30" x14ac:dyDescent="0.25">
      <c r="A102" s="534"/>
      <c r="B102" s="534"/>
      <c r="C102" s="537"/>
      <c r="D102" s="534"/>
      <c r="E102" s="534"/>
      <c r="F102" s="373" t="s">
        <v>151</v>
      </c>
      <c r="G102" s="373">
        <v>848011</v>
      </c>
      <c r="H102" s="373">
        <v>4</v>
      </c>
      <c r="I102" s="373">
        <v>60</v>
      </c>
      <c r="J102" s="374"/>
      <c r="K102" s="375">
        <v>3</v>
      </c>
      <c r="L102" s="375"/>
      <c r="M102" s="375"/>
      <c r="N102" s="373">
        <v>2</v>
      </c>
      <c r="O102" s="376">
        <v>1</v>
      </c>
      <c r="P102" s="373">
        <v>180</v>
      </c>
      <c r="Q102" s="373"/>
      <c r="R102" s="374"/>
      <c r="S102" s="540"/>
      <c r="T102" s="368"/>
      <c r="U102" s="368"/>
      <c r="V102" s="368"/>
      <c r="W102" s="368"/>
      <c r="X102" s="368"/>
      <c r="Y102" s="6"/>
      <c r="Z102" s="368"/>
      <c r="AA102" s="368"/>
      <c r="AB102" s="368"/>
      <c r="AC102" s="368"/>
      <c r="AD102" s="15"/>
    </row>
    <row r="103" spans="1:30" x14ac:dyDescent="0.25">
      <c r="A103" s="534"/>
      <c r="B103" s="534"/>
      <c r="C103" s="537"/>
      <c r="D103" s="534"/>
      <c r="E103" s="534"/>
      <c r="F103" s="373" t="s">
        <v>248</v>
      </c>
      <c r="G103" s="373">
        <v>833006</v>
      </c>
      <c r="H103" s="373">
        <v>3</v>
      </c>
      <c r="I103" s="373">
        <v>45</v>
      </c>
      <c r="J103" s="374"/>
      <c r="K103" s="375">
        <v>1</v>
      </c>
      <c r="L103" s="375"/>
      <c r="M103" s="375"/>
      <c r="N103" s="373">
        <v>1</v>
      </c>
      <c r="O103" s="376"/>
      <c r="P103" s="373">
        <v>45</v>
      </c>
      <c r="Q103" s="373"/>
      <c r="R103" s="374"/>
      <c r="S103" s="540"/>
      <c r="T103" s="368"/>
      <c r="U103" s="368"/>
      <c r="V103" s="368"/>
      <c r="W103" s="368"/>
      <c r="X103" s="368"/>
      <c r="Y103" s="6"/>
      <c r="Z103" s="368"/>
      <c r="AA103" s="368"/>
      <c r="AB103" s="368"/>
      <c r="AC103" s="368"/>
      <c r="AD103" s="15"/>
    </row>
    <row r="104" spans="1:30" x14ac:dyDescent="0.25">
      <c r="A104" s="534"/>
      <c r="B104" s="534"/>
      <c r="C104" s="537"/>
      <c r="D104" s="534"/>
      <c r="E104" s="534"/>
      <c r="F104" s="373" t="s">
        <v>275</v>
      </c>
      <c r="G104" s="373">
        <v>801408</v>
      </c>
      <c r="H104" s="373">
        <v>5</v>
      </c>
      <c r="I104" s="373">
        <v>75</v>
      </c>
      <c r="J104" s="374"/>
      <c r="K104" s="375">
        <v>1</v>
      </c>
      <c r="L104" s="375"/>
      <c r="M104" s="375"/>
      <c r="N104" s="373"/>
      <c r="O104" s="376">
        <v>1</v>
      </c>
      <c r="P104" s="373">
        <v>75</v>
      </c>
      <c r="Q104" s="373"/>
      <c r="R104" s="374"/>
      <c r="S104" s="540"/>
      <c r="T104" s="368"/>
      <c r="U104" s="368"/>
      <c r="V104" s="368"/>
      <c r="W104" s="368"/>
      <c r="X104" s="368"/>
      <c r="Y104" s="6"/>
      <c r="Z104" s="368"/>
      <c r="AA104" s="368"/>
      <c r="AB104" s="368"/>
      <c r="AC104" s="368"/>
      <c r="AD104" s="15"/>
    </row>
    <row r="105" spans="1:30" x14ac:dyDescent="0.25">
      <c r="A105" s="534"/>
      <c r="B105" s="534"/>
      <c r="C105" s="537"/>
      <c r="D105" s="534"/>
      <c r="E105" s="534"/>
      <c r="F105" s="373" t="s">
        <v>130</v>
      </c>
      <c r="G105" s="373">
        <v>801145</v>
      </c>
      <c r="H105" s="373">
        <v>3</v>
      </c>
      <c r="I105" s="373">
        <v>45</v>
      </c>
      <c r="J105" s="374"/>
      <c r="K105" s="375">
        <v>1</v>
      </c>
      <c r="L105" s="375"/>
      <c r="M105" s="375"/>
      <c r="N105" s="373"/>
      <c r="O105" s="376">
        <v>1</v>
      </c>
      <c r="P105" s="373">
        <v>45</v>
      </c>
      <c r="Q105" s="373"/>
      <c r="R105" s="374"/>
      <c r="S105" s="540"/>
      <c r="T105" s="368"/>
      <c r="U105" s="368"/>
      <c r="V105" s="368"/>
      <c r="W105" s="368"/>
      <c r="X105" s="368"/>
      <c r="Y105" s="6"/>
      <c r="Z105" s="368"/>
      <c r="AA105" s="368"/>
      <c r="AB105" s="368"/>
      <c r="AC105" s="368"/>
      <c r="AD105" s="15"/>
    </row>
    <row r="106" spans="1:30" x14ac:dyDescent="0.25">
      <c r="A106" s="535"/>
      <c r="B106" s="535"/>
      <c r="C106" s="538"/>
      <c r="D106" s="535"/>
      <c r="E106" s="535"/>
      <c r="F106" s="542" t="s">
        <v>227</v>
      </c>
      <c r="G106" s="543"/>
      <c r="H106" s="543"/>
      <c r="I106" s="543"/>
      <c r="J106" s="543"/>
      <c r="K106" s="543"/>
      <c r="L106" s="543"/>
      <c r="M106" s="543"/>
      <c r="N106" s="543"/>
      <c r="O106" s="544"/>
      <c r="P106" s="377">
        <f>SUM(P100:P105)</f>
        <v>465</v>
      </c>
      <c r="Q106" s="377" t="s">
        <v>227</v>
      </c>
      <c r="R106" s="378">
        <v>70</v>
      </c>
      <c r="S106" s="541"/>
      <c r="T106" s="368"/>
      <c r="U106" s="368"/>
      <c r="V106" s="368"/>
      <c r="W106" s="368"/>
      <c r="X106" s="368"/>
      <c r="Y106" s="6"/>
      <c r="Z106" s="368"/>
      <c r="AA106" s="368"/>
      <c r="AB106" s="368"/>
      <c r="AC106" s="368"/>
      <c r="AD106" s="15"/>
    </row>
    <row r="107" spans="1:30" x14ac:dyDescent="0.25">
      <c r="A107" s="533">
        <v>17</v>
      </c>
      <c r="B107" s="533">
        <v>10144</v>
      </c>
      <c r="C107" s="536" t="s">
        <v>211</v>
      </c>
      <c r="D107" s="533">
        <v>1975</v>
      </c>
      <c r="E107" s="533" t="s">
        <v>202</v>
      </c>
      <c r="F107" s="369" t="s">
        <v>236</v>
      </c>
      <c r="G107" s="369">
        <v>867008</v>
      </c>
      <c r="H107" s="369">
        <v>2</v>
      </c>
      <c r="I107" s="369"/>
      <c r="J107" s="370"/>
      <c r="K107" s="371">
        <v>5</v>
      </c>
      <c r="L107" s="371"/>
      <c r="M107" s="371"/>
      <c r="N107" s="369">
        <v>5</v>
      </c>
      <c r="O107" s="372"/>
      <c r="P107" s="369">
        <v>150</v>
      </c>
      <c r="Q107" s="369"/>
      <c r="R107" s="370"/>
      <c r="S107" s="539">
        <v>435</v>
      </c>
      <c r="T107" s="368"/>
      <c r="U107" s="368"/>
      <c r="V107" s="368"/>
      <c r="W107" s="368"/>
      <c r="X107" s="368"/>
      <c r="Y107" s="6"/>
      <c r="Z107" s="368"/>
      <c r="AA107" s="368"/>
      <c r="AB107" s="368"/>
      <c r="AC107" s="368"/>
      <c r="AD107" s="15"/>
    </row>
    <row r="108" spans="1:30" x14ac:dyDescent="0.25">
      <c r="A108" s="534"/>
      <c r="B108" s="534"/>
      <c r="C108" s="537"/>
      <c r="D108" s="534"/>
      <c r="E108" s="534"/>
      <c r="F108" s="373" t="s">
        <v>232</v>
      </c>
      <c r="G108" s="373">
        <v>867006</v>
      </c>
      <c r="H108" s="373">
        <v>2</v>
      </c>
      <c r="I108" s="373"/>
      <c r="J108" s="374"/>
      <c r="K108" s="375">
        <v>5</v>
      </c>
      <c r="L108" s="375"/>
      <c r="M108" s="375"/>
      <c r="N108" s="373">
        <v>2</v>
      </c>
      <c r="O108" s="376">
        <v>3</v>
      </c>
      <c r="P108" s="373">
        <v>150</v>
      </c>
      <c r="Q108" s="373"/>
      <c r="R108" s="374"/>
      <c r="S108" s="540"/>
      <c r="T108" s="368"/>
      <c r="U108" s="368"/>
      <c r="V108" s="368"/>
      <c r="W108" s="368"/>
      <c r="X108" s="368"/>
      <c r="Y108" s="6"/>
      <c r="Z108" s="368"/>
      <c r="AA108" s="368"/>
      <c r="AB108" s="368"/>
      <c r="AC108" s="368"/>
      <c r="AD108" s="15"/>
    </row>
    <row r="109" spans="1:30" x14ac:dyDescent="0.25">
      <c r="A109" s="534"/>
      <c r="B109" s="534"/>
      <c r="C109" s="537"/>
      <c r="D109" s="534"/>
      <c r="E109" s="534"/>
      <c r="F109" s="373" t="s">
        <v>132</v>
      </c>
      <c r="G109" s="373">
        <v>864007</v>
      </c>
      <c r="H109" s="373">
        <v>3</v>
      </c>
      <c r="I109" s="373"/>
      <c r="J109" s="374"/>
      <c r="K109" s="375">
        <v>3</v>
      </c>
      <c r="L109" s="375"/>
      <c r="M109" s="375"/>
      <c r="N109" s="373">
        <v>3</v>
      </c>
      <c r="O109" s="376"/>
      <c r="P109" s="373">
        <v>135</v>
      </c>
      <c r="Q109" s="373"/>
      <c r="R109" s="374"/>
      <c r="S109" s="540"/>
      <c r="T109" s="368"/>
      <c r="U109" s="368"/>
      <c r="V109" s="368"/>
      <c r="W109" s="368"/>
      <c r="X109" s="368"/>
      <c r="Y109" s="6"/>
      <c r="Z109" s="368"/>
      <c r="AA109" s="368"/>
      <c r="AB109" s="368"/>
      <c r="AC109" s="368"/>
      <c r="AD109" s="15"/>
    </row>
    <row r="110" spans="1:30" x14ac:dyDescent="0.25">
      <c r="A110" s="535"/>
      <c r="B110" s="535"/>
      <c r="C110" s="538"/>
      <c r="D110" s="535"/>
      <c r="E110" s="535"/>
      <c r="F110" s="542" t="s">
        <v>227</v>
      </c>
      <c r="G110" s="543"/>
      <c r="H110" s="543"/>
      <c r="I110" s="543"/>
      <c r="J110" s="543"/>
      <c r="K110" s="543"/>
      <c r="L110" s="543"/>
      <c r="M110" s="543"/>
      <c r="N110" s="543"/>
      <c r="O110" s="544"/>
      <c r="P110" s="377">
        <f>SUM(P107:P109)</f>
        <v>435</v>
      </c>
      <c r="Q110" s="377" t="s">
        <v>227</v>
      </c>
      <c r="R110" s="378">
        <v>0</v>
      </c>
      <c r="S110" s="541"/>
      <c r="T110" s="368"/>
      <c r="U110" s="368"/>
      <c r="V110" s="368"/>
      <c r="W110" s="368"/>
      <c r="X110" s="368"/>
      <c r="Y110" s="6"/>
      <c r="Z110" s="368"/>
      <c r="AA110" s="368"/>
      <c r="AB110" s="368"/>
      <c r="AC110" s="368"/>
      <c r="AD110" s="15"/>
    </row>
    <row r="111" spans="1:30" ht="31.5" x14ac:dyDescent="0.25">
      <c r="A111" s="533">
        <v>18</v>
      </c>
      <c r="B111" s="533">
        <v>10904</v>
      </c>
      <c r="C111" s="536" t="s">
        <v>190</v>
      </c>
      <c r="D111" s="533">
        <v>1981</v>
      </c>
      <c r="E111" s="533" t="s">
        <v>206</v>
      </c>
      <c r="F111" s="369" t="s">
        <v>135</v>
      </c>
      <c r="G111" s="369">
        <v>848010</v>
      </c>
      <c r="H111" s="369">
        <v>4</v>
      </c>
      <c r="I111" s="369">
        <v>60</v>
      </c>
      <c r="J111" s="370"/>
      <c r="K111" s="371">
        <v>2</v>
      </c>
      <c r="L111" s="371"/>
      <c r="M111" s="371"/>
      <c r="N111" s="369">
        <v>1</v>
      </c>
      <c r="O111" s="372">
        <v>1</v>
      </c>
      <c r="P111" s="369">
        <v>120</v>
      </c>
      <c r="Q111" s="369" t="s">
        <v>369</v>
      </c>
      <c r="R111" s="370" t="s">
        <v>392</v>
      </c>
      <c r="S111" s="539">
        <v>503</v>
      </c>
      <c r="T111" s="368"/>
      <c r="U111" s="368"/>
      <c r="V111" s="368"/>
      <c r="W111" s="368"/>
      <c r="X111" s="368"/>
      <c r="Y111" s="6"/>
      <c r="Z111" s="368"/>
      <c r="AA111" s="368"/>
      <c r="AB111" s="368"/>
      <c r="AC111" s="368"/>
      <c r="AD111" s="15"/>
    </row>
    <row r="112" spans="1:30" x14ac:dyDescent="0.25">
      <c r="A112" s="534"/>
      <c r="B112" s="534"/>
      <c r="C112" s="537"/>
      <c r="D112" s="534"/>
      <c r="E112" s="534"/>
      <c r="F112" s="373" t="s">
        <v>324</v>
      </c>
      <c r="G112" s="373">
        <v>841405</v>
      </c>
      <c r="H112" s="373">
        <v>3</v>
      </c>
      <c r="I112" s="373">
        <v>45</v>
      </c>
      <c r="J112" s="374"/>
      <c r="K112" s="375">
        <v>1</v>
      </c>
      <c r="L112" s="375"/>
      <c r="M112" s="375"/>
      <c r="N112" s="373"/>
      <c r="O112" s="376">
        <v>1</v>
      </c>
      <c r="P112" s="373">
        <v>45</v>
      </c>
      <c r="Q112" s="373"/>
      <c r="R112" s="374"/>
      <c r="S112" s="540"/>
      <c r="T112" s="368"/>
      <c r="U112" s="368"/>
      <c r="V112" s="368"/>
      <c r="W112" s="368"/>
      <c r="X112" s="368"/>
      <c r="Y112" s="6"/>
      <c r="Z112" s="368"/>
      <c r="AA112" s="368"/>
      <c r="AB112" s="368"/>
      <c r="AC112" s="368"/>
      <c r="AD112" s="15"/>
    </row>
    <row r="113" spans="1:30" x14ac:dyDescent="0.25">
      <c r="A113" s="534"/>
      <c r="B113" s="534"/>
      <c r="C113" s="537"/>
      <c r="D113" s="534"/>
      <c r="E113" s="534"/>
      <c r="F113" s="373" t="s">
        <v>233</v>
      </c>
      <c r="G113" s="373">
        <v>841401</v>
      </c>
      <c r="H113" s="373">
        <v>3</v>
      </c>
      <c r="I113" s="373">
        <v>45</v>
      </c>
      <c r="J113" s="374"/>
      <c r="K113" s="375">
        <v>3</v>
      </c>
      <c r="L113" s="375"/>
      <c r="M113" s="375"/>
      <c r="N113" s="373">
        <v>3</v>
      </c>
      <c r="O113" s="376"/>
      <c r="P113" s="373">
        <v>135</v>
      </c>
      <c r="Q113" s="373"/>
      <c r="R113" s="374"/>
      <c r="S113" s="540"/>
      <c r="T113" s="368"/>
      <c r="U113" s="368"/>
      <c r="V113" s="368"/>
      <c r="W113" s="368"/>
      <c r="X113" s="368"/>
      <c r="Y113" s="6"/>
      <c r="Z113" s="368"/>
      <c r="AA113" s="368"/>
      <c r="AB113" s="368"/>
      <c r="AC113" s="368"/>
      <c r="AD113" s="15"/>
    </row>
    <row r="114" spans="1:30" x14ac:dyDescent="0.25">
      <c r="A114" s="534"/>
      <c r="B114" s="534"/>
      <c r="C114" s="537"/>
      <c r="D114" s="534"/>
      <c r="E114" s="534"/>
      <c r="F114" s="373" t="s">
        <v>120</v>
      </c>
      <c r="G114" s="373">
        <v>801083</v>
      </c>
      <c r="H114" s="373">
        <v>3</v>
      </c>
      <c r="I114" s="373">
        <v>45</v>
      </c>
      <c r="J114" s="374"/>
      <c r="K114" s="375">
        <v>1</v>
      </c>
      <c r="L114" s="375"/>
      <c r="M114" s="375"/>
      <c r="N114" s="373"/>
      <c r="O114" s="376">
        <v>1</v>
      </c>
      <c r="P114" s="373">
        <v>45</v>
      </c>
      <c r="Q114" s="373"/>
      <c r="R114" s="374"/>
      <c r="S114" s="540"/>
      <c r="T114" s="368"/>
      <c r="U114" s="368"/>
      <c r="V114" s="368"/>
      <c r="W114" s="368"/>
      <c r="X114" s="368"/>
      <c r="Y114" s="6"/>
      <c r="Z114" s="368"/>
      <c r="AA114" s="368"/>
      <c r="AB114" s="368"/>
      <c r="AC114" s="368"/>
      <c r="AD114" s="15"/>
    </row>
    <row r="115" spans="1:30" x14ac:dyDescent="0.25">
      <c r="A115" s="534"/>
      <c r="B115" s="534"/>
      <c r="C115" s="537"/>
      <c r="D115" s="534"/>
      <c r="E115" s="534"/>
      <c r="F115" s="373" t="s">
        <v>123</v>
      </c>
      <c r="G115" s="373">
        <v>801047</v>
      </c>
      <c r="H115" s="373">
        <v>4</v>
      </c>
      <c r="I115" s="373">
        <v>60</v>
      </c>
      <c r="J115" s="374"/>
      <c r="K115" s="375">
        <v>1</v>
      </c>
      <c r="L115" s="375"/>
      <c r="M115" s="375"/>
      <c r="N115" s="373">
        <v>1</v>
      </c>
      <c r="O115" s="376"/>
      <c r="P115" s="373">
        <v>60</v>
      </c>
      <c r="Q115" s="373"/>
      <c r="R115" s="374"/>
      <c r="S115" s="540"/>
      <c r="T115" s="368"/>
      <c r="U115" s="368"/>
      <c r="V115" s="368"/>
      <c r="W115" s="368"/>
      <c r="X115" s="368"/>
      <c r="Y115" s="6"/>
      <c r="Z115" s="368"/>
      <c r="AA115" s="368"/>
      <c r="AB115" s="368"/>
      <c r="AC115" s="368"/>
      <c r="AD115" s="15"/>
    </row>
    <row r="116" spans="1:30" x14ac:dyDescent="0.25">
      <c r="A116" s="534"/>
      <c r="B116" s="534"/>
      <c r="C116" s="537"/>
      <c r="D116" s="534"/>
      <c r="E116" s="534"/>
      <c r="F116" s="373" t="s">
        <v>298</v>
      </c>
      <c r="G116" s="373">
        <v>801042</v>
      </c>
      <c r="H116" s="373">
        <v>3</v>
      </c>
      <c r="I116" s="373">
        <v>45</v>
      </c>
      <c r="J116" s="374"/>
      <c r="K116" s="375">
        <v>1</v>
      </c>
      <c r="L116" s="375"/>
      <c r="M116" s="375"/>
      <c r="N116" s="373"/>
      <c r="O116" s="376">
        <v>1</v>
      </c>
      <c r="P116" s="373">
        <v>45</v>
      </c>
      <c r="Q116" s="373"/>
      <c r="R116" s="374"/>
      <c r="S116" s="540"/>
      <c r="T116" s="368"/>
      <c r="U116" s="368"/>
      <c r="V116" s="368"/>
      <c r="W116" s="368"/>
      <c r="X116" s="368"/>
      <c r="Y116" s="6"/>
      <c r="Z116" s="368"/>
      <c r="AA116" s="368"/>
      <c r="AB116" s="368"/>
      <c r="AC116" s="368"/>
      <c r="AD116" s="15"/>
    </row>
    <row r="117" spans="1:30" x14ac:dyDescent="0.25">
      <c r="A117" s="535"/>
      <c r="B117" s="535"/>
      <c r="C117" s="538"/>
      <c r="D117" s="535"/>
      <c r="E117" s="535"/>
      <c r="F117" s="542" t="s">
        <v>227</v>
      </c>
      <c r="G117" s="543"/>
      <c r="H117" s="543"/>
      <c r="I117" s="543"/>
      <c r="J117" s="543"/>
      <c r="K117" s="543"/>
      <c r="L117" s="543"/>
      <c r="M117" s="543"/>
      <c r="N117" s="543"/>
      <c r="O117" s="544"/>
      <c r="P117" s="377">
        <f>SUM(P111:P116)</f>
        <v>450</v>
      </c>
      <c r="Q117" s="377" t="s">
        <v>227</v>
      </c>
      <c r="R117" s="378">
        <v>53</v>
      </c>
      <c r="S117" s="541"/>
      <c r="T117" s="368"/>
      <c r="U117" s="368"/>
      <c r="V117" s="368"/>
      <c r="W117" s="368"/>
      <c r="X117" s="368"/>
      <c r="Y117" s="6"/>
      <c r="Z117" s="368"/>
      <c r="AA117" s="368"/>
      <c r="AB117" s="368"/>
      <c r="AC117" s="368"/>
      <c r="AD117" s="15"/>
    </row>
    <row r="118" spans="1:30" x14ac:dyDescent="0.25">
      <c r="A118" s="533">
        <v>19</v>
      </c>
      <c r="B118" s="533">
        <v>11372</v>
      </c>
      <c r="C118" s="536" t="s">
        <v>176</v>
      </c>
      <c r="D118" s="533">
        <v>1961</v>
      </c>
      <c r="E118" s="533" t="s">
        <v>224</v>
      </c>
      <c r="F118" s="369" t="s">
        <v>236</v>
      </c>
      <c r="G118" s="369">
        <v>867008</v>
      </c>
      <c r="H118" s="369">
        <v>2</v>
      </c>
      <c r="I118" s="369"/>
      <c r="J118" s="370"/>
      <c r="K118" s="371">
        <v>4</v>
      </c>
      <c r="L118" s="371"/>
      <c r="M118" s="371"/>
      <c r="N118" s="369">
        <v>2</v>
      </c>
      <c r="O118" s="372">
        <v>2</v>
      </c>
      <c r="P118" s="369">
        <v>120</v>
      </c>
      <c r="Q118" s="369"/>
      <c r="R118" s="370"/>
      <c r="S118" s="539">
        <v>375</v>
      </c>
      <c r="T118" s="368"/>
      <c r="U118" s="368"/>
      <c r="V118" s="368"/>
      <c r="W118" s="368"/>
      <c r="X118" s="368"/>
      <c r="Y118" s="6"/>
      <c r="Z118" s="368"/>
      <c r="AA118" s="368"/>
      <c r="AB118" s="368"/>
      <c r="AC118" s="368"/>
      <c r="AD118" s="15"/>
    </row>
    <row r="119" spans="1:30" x14ac:dyDescent="0.25">
      <c r="A119" s="534"/>
      <c r="B119" s="534"/>
      <c r="C119" s="537"/>
      <c r="D119" s="534"/>
      <c r="E119" s="534"/>
      <c r="F119" s="373" t="s">
        <v>132</v>
      </c>
      <c r="G119" s="373">
        <v>864007</v>
      </c>
      <c r="H119" s="373">
        <v>3</v>
      </c>
      <c r="I119" s="373"/>
      <c r="J119" s="374"/>
      <c r="K119" s="375">
        <v>4</v>
      </c>
      <c r="L119" s="375"/>
      <c r="M119" s="375"/>
      <c r="N119" s="373">
        <v>3</v>
      </c>
      <c r="O119" s="376">
        <v>1</v>
      </c>
      <c r="P119" s="373">
        <v>180</v>
      </c>
      <c r="Q119" s="373"/>
      <c r="R119" s="374"/>
      <c r="S119" s="540"/>
      <c r="T119" s="368"/>
      <c r="U119" s="368"/>
      <c r="V119" s="368"/>
      <c r="W119" s="368"/>
      <c r="X119" s="368"/>
      <c r="Y119" s="6"/>
      <c r="Z119" s="368"/>
      <c r="AA119" s="368"/>
      <c r="AB119" s="368"/>
      <c r="AC119" s="368"/>
      <c r="AD119" s="15"/>
    </row>
    <row r="120" spans="1:30" x14ac:dyDescent="0.25">
      <c r="A120" s="534"/>
      <c r="B120" s="534"/>
      <c r="C120" s="537"/>
      <c r="D120" s="534"/>
      <c r="E120" s="534"/>
      <c r="F120" s="373" t="s">
        <v>182</v>
      </c>
      <c r="G120" s="373">
        <v>801403</v>
      </c>
      <c r="H120" s="373">
        <v>2</v>
      </c>
      <c r="I120" s="373">
        <v>30</v>
      </c>
      <c r="J120" s="374"/>
      <c r="K120" s="375">
        <v>1</v>
      </c>
      <c r="L120" s="375"/>
      <c r="M120" s="375"/>
      <c r="N120" s="373">
        <v>1</v>
      </c>
      <c r="O120" s="376"/>
      <c r="P120" s="373">
        <v>30</v>
      </c>
      <c r="Q120" s="373"/>
      <c r="R120" s="374"/>
      <c r="S120" s="540"/>
      <c r="T120" s="368"/>
      <c r="U120" s="368"/>
      <c r="V120" s="368"/>
      <c r="W120" s="368"/>
      <c r="X120" s="368"/>
      <c r="Y120" s="6"/>
      <c r="Z120" s="368"/>
      <c r="AA120" s="368"/>
      <c r="AB120" s="368"/>
      <c r="AC120" s="368"/>
      <c r="AD120" s="15"/>
    </row>
    <row r="121" spans="1:30" x14ac:dyDescent="0.25">
      <c r="A121" s="534"/>
      <c r="B121" s="534"/>
      <c r="C121" s="537"/>
      <c r="D121" s="534"/>
      <c r="E121" s="534"/>
      <c r="F121" s="373" t="s">
        <v>138</v>
      </c>
      <c r="G121" s="373">
        <v>801066</v>
      </c>
      <c r="H121" s="373">
        <v>3</v>
      </c>
      <c r="I121" s="373">
        <v>45</v>
      </c>
      <c r="J121" s="374"/>
      <c r="K121" s="375">
        <v>1</v>
      </c>
      <c r="L121" s="375"/>
      <c r="M121" s="375"/>
      <c r="N121" s="373"/>
      <c r="O121" s="376">
        <v>1</v>
      </c>
      <c r="P121" s="373">
        <v>45</v>
      </c>
      <c r="Q121" s="373"/>
      <c r="R121" s="374"/>
      <c r="S121" s="540"/>
      <c r="T121" s="368"/>
      <c r="U121" s="368"/>
      <c r="V121" s="368"/>
      <c r="W121" s="368"/>
      <c r="X121" s="368"/>
      <c r="Y121" s="6"/>
      <c r="Z121" s="368"/>
      <c r="AA121" s="368"/>
      <c r="AB121" s="368"/>
      <c r="AC121" s="368"/>
      <c r="AD121" s="15"/>
    </row>
    <row r="122" spans="1:30" x14ac:dyDescent="0.25">
      <c r="A122" s="535"/>
      <c r="B122" s="535"/>
      <c r="C122" s="538"/>
      <c r="D122" s="535"/>
      <c r="E122" s="535"/>
      <c r="F122" s="542" t="s">
        <v>227</v>
      </c>
      <c r="G122" s="543"/>
      <c r="H122" s="543"/>
      <c r="I122" s="543"/>
      <c r="J122" s="543"/>
      <c r="K122" s="543"/>
      <c r="L122" s="543"/>
      <c r="M122" s="543"/>
      <c r="N122" s="543"/>
      <c r="O122" s="544"/>
      <c r="P122" s="377">
        <f>SUM(P118:P121)</f>
        <v>375</v>
      </c>
      <c r="Q122" s="377" t="s">
        <v>227</v>
      </c>
      <c r="R122" s="378">
        <v>0</v>
      </c>
      <c r="S122" s="541"/>
      <c r="T122" s="368"/>
      <c r="U122" s="368"/>
      <c r="V122" s="368"/>
      <c r="W122" s="368"/>
      <c r="X122" s="368"/>
      <c r="Y122" s="6"/>
      <c r="Z122" s="368"/>
      <c r="AA122" s="368"/>
      <c r="AB122" s="368"/>
      <c r="AC122" s="368"/>
      <c r="AD122" s="15"/>
    </row>
    <row r="123" spans="1:30" hidden="1" x14ac:dyDescent="0.25">
      <c r="A123" s="533"/>
      <c r="B123" s="533"/>
      <c r="C123" s="536" t="s">
        <v>238</v>
      </c>
      <c r="D123" s="533"/>
      <c r="E123" s="533" t="s">
        <v>202</v>
      </c>
      <c r="F123" s="369" t="s">
        <v>235</v>
      </c>
      <c r="G123" s="369">
        <v>867007</v>
      </c>
      <c r="H123" s="369">
        <v>3</v>
      </c>
      <c r="I123" s="369"/>
      <c r="J123" s="370"/>
      <c r="K123" s="371">
        <v>3</v>
      </c>
      <c r="L123" s="371"/>
      <c r="M123" s="371"/>
      <c r="N123" s="369">
        <v>3</v>
      </c>
      <c r="O123" s="372"/>
      <c r="P123" s="369">
        <v>135</v>
      </c>
      <c r="Q123" s="369"/>
      <c r="R123" s="370"/>
      <c r="S123" s="539">
        <v>135</v>
      </c>
      <c r="T123" s="368"/>
      <c r="U123" s="368"/>
      <c r="V123" s="368"/>
      <c r="W123" s="368"/>
      <c r="X123" s="368"/>
      <c r="Y123" s="6"/>
      <c r="Z123" s="368"/>
      <c r="AA123" s="368"/>
      <c r="AB123" s="368"/>
      <c r="AC123" s="368"/>
      <c r="AD123" s="15"/>
    </row>
    <row r="124" spans="1:30" hidden="1" x14ac:dyDescent="0.25">
      <c r="A124" s="535"/>
      <c r="B124" s="535"/>
      <c r="C124" s="538"/>
      <c r="D124" s="535"/>
      <c r="E124" s="535"/>
      <c r="F124" s="542" t="s">
        <v>227</v>
      </c>
      <c r="G124" s="543"/>
      <c r="H124" s="543"/>
      <c r="I124" s="543"/>
      <c r="J124" s="543"/>
      <c r="K124" s="543"/>
      <c r="L124" s="543"/>
      <c r="M124" s="543"/>
      <c r="N124" s="543"/>
      <c r="O124" s="544"/>
      <c r="P124" s="377">
        <f>SUM(P123:P123)</f>
        <v>135</v>
      </c>
      <c r="Q124" s="377" t="s">
        <v>227</v>
      </c>
      <c r="R124" s="378">
        <v>0</v>
      </c>
      <c r="S124" s="541"/>
      <c r="T124" s="368"/>
      <c r="U124" s="368"/>
      <c r="V124" s="368"/>
      <c r="W124" s="368"/>
      <c r="X124" s="368"/>
      <c r="Y124" s="6"/>
      <c r="Z124" s="368"/>
      <c r="AA124" s="368"/>
      <c r="AB124" s="368"/>
      <c r="AC124" s="368"/>
      <c r="AD124" s="15"/>
    </row>
    <row r="125" spans="1:30" x14ac:dyDescent="0.25">
      <c r="A125" s="533">
        <v>20</v>
      </c>
      <c r="B125" s="533">
        <v>10134</v>
      </c>
      <c r="C125" s="536" t="s">
        <v>203</v>
      </c>
      <c r="D125" s="533">
        <v>1974</v>
      </c>
      <c r="E125" s="533" t="s">
        <v>206</v>
      </c>
      <c r="F125" s="369" t="s">
        <v>236</v>
      </c>
      <c r="G125" s="369">
        <v>867008</v>
      </c>
      <c r="H125" s="369">
        <v>2</v>
      </c>
      <c r="I125" s="369"/>
      <c r="J125" s="370"/>
      <c r="K125" s="371">
        <v>2</v>
      </c>
      <c r="L125" s="371"/>
      <c r="M125" s="371"/>
      <c r="N125" s="369"/>
      <c r="O125" s="372">
        <v>2</v>
      </c>
      <c r="P125" s="369">
        <v>60</v>
      </c>
      <c r="Q125" s="369"/>
      <c r="R125" s="370"/>
      <c r="S125" s="539">
        <v>480</v>
      </c>
      <c r="T125" s="368"/>
      <c r="U125" s="368"/>
      <c r="V125" s="368"/>
      <c r="W125" s="368"/>
      <c r="X125" s="368"/>
      <c r="Y125" s="6"/>
      <c r="Z125" s="368"/>
      <c r="AA125" s="368"/>
      <c r="AB125" s="368"/>
      <c r="AC125" s="368"/>
      <c r="AD125" s="15"/>
    </row>
    <row r="126" spans="1:30" x14ac:dyDescent="0.25">
      <c r="A126" s="534"/>
      <c r="B126" s="534"/>
      <c r="C126" s="537"/>
      <c r="D126" s="534"/>
      <c r="E126" s="534"/>
      <c r="F126" s="373" t="s">
        <v>235</v>
      </c>
      <c r="G126" s="373">
        <v>867007</v>
      </c>
      <c r="H126" s="373">
        <v>3</v>
      </c>
      <c r="I126" s="373"/>
      <c r="J126" s="374"/>
      <c r="K126" s="375">
        <v>3</v>
      </c>
      <c r="L126" s="375"/>
      <c r="M126" s="375"/>
      <c r="N126" s="373">
        <v>3</v>
      </c>
      <c r="O126" s="376"/>
      <c r="P126" s="373">
        <v>135</v>
      </c>
      <c r="Q126" s="373"/>
      <c r="R126" s="374"/>
      <c r="S126" s="540"/>
      <c r="T126" s="368"/>
      <c r="U126" s="368"/>
      <c r="V126" s="368"/>
      <c r="W126" s="368"/>
      <c r="X126" s="368"/>
      <c r="Y126" s="6"/>
      <c r="Z126" s="368"/>
      <c r="AA126" s="368"/>
      <c r="AB126" s="368"/>
      <c r="AC126" s="368"/>
      <c r="AD126" s="15"/>
    </row>
    <row r="127" spans="1:30" x14ac:dyDescent="0.25">
      <c r="A127" s="534"/>
      <c r="B127" s="534"/>
      <c r="C127" s="537"/>
      <c r="D127" s="534"/>
      <c r="E127" s="534"/>
      <c r="F127" s="373" t="s">
        <v>232</v>
      </c>
      <c r="G127" s="373">
        <v>867006</v>
      </c>
      <c r="H127" s="373">
        <v>2</v>
      </c>
      <c r="I127" s="373"/>
      <c r="J127" s="374"/>
      <c r="K127" s="375">
        <v>5</v>
      </c>
      <c r="L127" s="375"/>
      <c r="M127" s="375"/>
      <c r="N127" s="373">
        <v>2</v>
      </c>
      <c r="O127" s="376">
        <v>3</v>
      </c>
      <c r="P127" s="373">
        <v>150</v>
      </c>
      <c r="Q127" s="373"/>
      <c r="R127" s="374"/>
      <c r="S127" s="540"/>
      <c r="T127" s="368"/>
      <c r="U127" s="368"/>
      <c r="V127" s="368"/>
      <c r="W127" s="368"/>
      <c r="X127" s="368"/>
      <c r="Y127" s="6"/>
      <c r="Z127" s="368"/>
      <c r="AA127" s="368"/>
      <c r="AB127" s="368"/>
      <c r="AC127" s="368"/>
      <c r="AD127" s="15"/>
    </row>
    <row r="128" spans="1:30" x14ac:dyDescent="0.25">
      <c r="A128" s="534"/>
      <c r="B128" s="534"/>
      <c r="C128" s="537"/>
      <c r="D128" s="534"/>
      <c r="E128" s="534"/>
      <c r="F128" s="373" t="s">
        <v>132</v>
      </c>
      <c r="G128" s="373">
        <v>864007</v>
      </c>
      <c r="H128" s="373">
        <v>3</v>
      </c>
      <c r="I128" s="373"/>
      <c r="J128" s="374"/>
      <c r="K128" s="375">
        <v>3</v>
      </c>
      <c r="L128" s="375"/>
      <c r="M128" s="375"/>
      <c r="N128" s="373">
        <v>3</v>
      </c>
      <c r="O128" s="376"/>
      <c r="P128" s="373">
        <v>135</v>
      </c>
      <c r="Q128" s="373"/>
      <c r="R128" s="374"/>
      <c r="S128" s="540"/>
      <c r="T128" s="368"/>
      <c r="U128" s="368"/>
      <c r="V128" s="368"/>
      <c r="W128" s="368"/>
      <c r="X128" s="368"/>
      <c r="Y128" s="6"/>
      <c r="Z128" s="368"/>
      <c r="AA128" s="368"/>
      <c r="AB128" s="368"/>
      <c r="AC128" s="368"/>
      <c r="AD128" s="15"/>
    </row>
    <row r="129" spans="1:30" x14ac:dyDescent="0.25">
      <c r="A129" s="535"/>
      <c r="B129" s="535"/>
      <c r="C129" s="538"/>
      <c r="D129" s="535"/>
      <c r="E129" s="535"/>
      <c r="F129" s="542" t="s">
        <v>227</v>
      </c>
      <c r="G129" s="543"/>
      <c r="H129" s="543"/>
      <c r="I129" s="543"/>
      <c r="J129" s="543"/>
      <c r="K129" s="543"/>
      <c r="L129" s="543"/>
      <c r="M129" s="543"/>
      <c r="N129" s="543"/>
      <c r="O129" s="544"/>
      <c r="P129" s="377">
        <f>SUM(P125:P128)</f>
        <v>480</v>
      </c>
      <c r="Q129" s="377" t="s">
        <v>227</v>
      </c>
      <c r="R129" s="378">
        <v>0</v>
      </c>
      <c r="S129" s="541"/>
      <c r="T129" s="368"/>
      <c r="U129" s="368"/>
      <c r="V129" s="368"/>
      <c r="W129" s="368"/>
      <c r="X129" s="368"/>
      <c r="Y129" s="6"/>
      <c r="Z129" s="368"/>
      <c r="AA129" s="368"/>
      <c r="AB129" s="368"/>
      <c r="AC129" s="368"/>
      <c r="AD129" s="15"/>
    </row>
    <row r="130" spans="1:30" ht="31.5" x14ac:dyDescent="0.25">
      <c r="A130" s="533">
        <v>21</v>
      </c>
      <c r="B130" s="533">
        <v>10987</v>
      </c>
      <c r="C130" s="536" t="s">
        <v>145</v>
      </c>
      <c r="D130" s="533">
        <v>1966</v>
      </c>
      <c r="E130" s="533" t="s">
        <v>206</v>
      </c>
      <c r="F130" s="369" t="s">
        <v>274</v>
      </c>
      <c r="G130" s="369">
        <v>801415</v>
      </c>
      <c r="H130" s="369">
        <v>3</v>
      </c>
      <c r="I130" s="369">
        <v>45</v>
      </c>
      <c r="J130" s="370"/>
      <c r="K130" s="371">
        <v>1</v>
      </c>
      <c r="L130" s="371"/>
      <c r="M130" s="371"/>
      <c r="N130" s="369">
        <v>1</v>
      </c>
      <c r="O130" s="372"/>
      <c r="P130" s="369">
        <v>45</v>
      </c>
      <c r="Q130" s="369" t="s">
        <v>384</v>
      </c>
      <c r="R130" s="370" t="s">
        <v>394</v>
      </c>
      <c r="S130" s="539">
        <v>250</v>
      </c>
      <c r="T130" s="368"/>
      <c r="U130" s="368"/>
      <c r="V130" s="368"/>
      <c r="W130" s="368"/>
      <c r="X130" s="368"/>
      <c r="Y130" s="6"/>
      <c r="Z130" s="368"/>
      <c r="AA130" s="368"/>
      <c r="AB130" s="368"/>
      <c r="AC130" s="368"/>
      <c r="AD130" s="15"/>
    </row>
    <row r="131" spans="1:30" x14ac:dyDescent="0.25">
      <c r="A131" s="534"/>
      <c r="B131" s="534"/>
      <c r="C131" s="537"/>
      <c r="D131" s="534"/>
      <c r="E131" s="534"/>
      <c r="F131" s="373" t="s">
        <v>277</v>
      </c>
      <c r="G131" s="373">
        <v>801315</v>
      </c>
      <c r="H131" s="373">
        <v>3</v>
      </c>
      <c r="I131" s="373">
        <v>45</v>
      </c>
      <c r="J131" s="374"/>
      <c r="K131" s="375">
        <v>1</v>
      </c>
      <c r="L131" s="375"/>
      <c r="M131" s="375"/>
      <c r="N131" s="373"/>
      <c r="O131" s="376">
        <v>1</v>
      </c>
      <c r="P131" s="373">
        <v>45</v>
      </c>
      <c r="Q131" s="373"/>
      <c r="R131" s="374"/>
      <c r="S131" s="540"/>
      <c r="T131" s="368"/>
      <c r="U131" s="368"/>
      <c r="V131" s="368"/>
      <c r="W131" s="368"/>
      <c r="X131" s="368"/>
      <c r="Y131" s="6"/>
      <c r="Z131" s="368"/>
      <c r="AA131" s="368"/>
      <c r="AB131" s="368"/>
      <c r="AC131" s="368"/>
      <c r="AD131" s="15"/>
    </row>
    <row r="132" spans="1:30" x14ac:dyDescent="0.25">
      <c r="A132" s="534"/>
      <c r="B132" s="534"/>
      <c r="C132" s="537"/>
      <c r="D132" s="534"/>
      <c r="E132" s="534"/>
      <c r="F132" s="373" t="s">
        <v>128</v>
      </c>
      <c r="G132" s="373">
        <v>801313</v>
      </c>
      <c r="H132" s="373">
        <v>3</v>
      </c>
      <c r="I132" s="373">
        <v>45</v>
      </c>
      <c r="J132" s="374"/>
      <c r="K132" s="375">
        <v>1</v>
      </c>
      <c r="L132" s="375"/>
      <c r="M132" s="375"/>
      <c r="N132" s="373">
        <v>1</v>
      </c>
      <c r="O132" s="376"/>
      <c r="P132" s="373">
        <v>45</v>
      </c>
      <c r="Q132" s="373"/>
      <c r="R132" s="374"/>
      <c r="S132" s="540"/>
      <c r="T132" s="368"/>
      <c r="U132" s="368"/>
      <c r="V132" s="368"/>
      <c r="W132" s="368"/>
      <c r="X132" s="368"/>
      <c r="Y132" s="6"/>
      <c r="Z132" s="368"/>
      <c r="AA132" s="368"/>
      <c r="AB132" s="368"/>
      <c r="AC132" s="368"/>
      <c r="AD132" s="15"/>
    </row>
    <row r="133" spans="1:30" x14ac:dyDescent="0.25">
      <c r="A133" s="534"/>
      <c r="B133" s="534"/>
      <c r="C133" s="537"/>
      <c r="D133" s="534"/>
      <c r="E133" s="534"/>
      <c r="F133" s="373" t="s">
        <v>122</v>
      </c>
      <c r="G133" s="373">
        <v>801091</v>
      </c>
      <c r="H133" s="373">
        <v>1</v>
      </c>
      <c r="I133" s="373">
        <v>30</v>
      </c>
      <c r="J133" s="374"/>
      <c r="K133" s="375">
        <v>1</v>
      </c>
      <c r="L133" s="375"/>
      <c r="M133" s="375"/>
      <c r="N133" s="373">
        <v>1</v>
      </c>
      <c r="O133" s="376"/>
      <c r="P133" s="373">
        <v>15</v>
      </c>
      <c r="Q133" s="373"/>
      <c r="R133" s="374"/>
      <c r="S133" s="540"/>
      <c r="T133" s="368"/>
      <c r="U133" s="368"/>
      <c r="V133" s="368"/>
      <c r="W133" s="368"/>
      <c r="X133" s="368"/>
      <c r="Y133" s="6"/>
      <c r="Z133" s="368"/>
      <c r="AA133" s="368"/>
      <c r="AB133" s="368"/>
      <c r="AC133" s="368"/>
      <c r="AD133" s="15"/>
    </row>
    <row r="134" spans="1:30" x14ac:dyDescent="0.25">
      <c r="A134" s="534"/>
      <c r="B134" s="534"/>
      <c r="C134" s="537"/>
      <c r="D134" s="534"/>
      <c r="E134" s="534"/>
      <c r="F134" s="373" t="s">
        <v>136</v>
      </c>
      <c r="G134" s="373">
        <v>801046</v>
      </c>
      <c r="H134" s="373">
        <v>2</v>
      </c>
      <c r="I134" s="373">
        <v>30</v>
      </c>
      <c r="J134" s="374"/>
      <c r="K134" s="375">
        <v>1</v>
      </c>
      <c r="L134" s="375"/>
      <c r="M134" s="375"/>
      <c r="N134" s="373"/>
      <c r="O134" s="376">
        <v>1</v>
      </c>
      <c r="P134" s="373">
        <v>30</v>
      </c>
      <c r="Q134" s="373"/>
      <c r="R134" s="374"/>
      <c r="S134" s="540"/>
      <c r="T134" s="368"/>
      <c r="U134" s="368"/>
      <c r="V134" s="368"/>
      <c r="W134" s="368"/>
      <c r="X134" s="368"/>
      <c r="Y134" s="6"/>
      <c r="Z134" s="368"/>
      <c r="AA134" s="368"/>
      <c r="AB134" s="368"/>
      <c r="AC134" s="368"/>
      <c r="AD134" s="15"/>
    </row>
    <row r="135" spans="1:30" x14ac:dyDescent="0.25">
      <c r="A135" s="535"/>
      <c r="B135" s="535"/>
      <c r="C135" s="538"/>
      <c r="D135" s="535"/>
      <c r="E135" s="535"/>
      <c r="F135" s="542" t="s">
        <v>227</v>
      </c>
      <c r="G135" s="543"/>
      <c r="H135" s="543"/>
      <c r="I135" s="543"/>
      <c r="J135" s="543"/>
      <c r="K135" s="543"/>
      <c r="L135" s="543"/>
      <c r="M135" s="543"/>
      <c r="N135" s="543"/>
      <c r="O135" s="544"/>
      <c r="P135" s="377">
        <f>SUM(P130:P134)</f>
        <v>180</v>
      </c>
      <c r="Q135" s="377" t="s">
        <v>227</v>
      </c>
      <c r="R135" s="378">
        <v>70</v>
      </c>
      <c r="S135" s="541"/>
      <c r="T135" s="368"/>
      <c r="U135" s="368"/>
      <c r="V135" s="368"/>
      <c r="W135" s="368"/>
      <c r="X135" s="368"/>
      <c r="Y135" s="6"/>
      <c r="Z135" s="368"/>
      <c r="AA135" s="368"/>
      <c r="AB135" s="368"/>
      <c r="AC135" s="368"/>
      <c r="AD135" s="15"/>
    </row>
    <row r="136" spans="1:30" x14ac:dyDescent="0.25">
      <c r="A136" s="533">
        <v>22</v>
      </c>
      <c r="B136" s="533">
        <v>11204</v>
      </c>
      <c r="C136" s="536" t="s">
        <v>187</v>
      </c>
      <c r="D136" s="533">
        <v>1987</v>
      </c>
      <c r="E136" s="533" t="s">
        <v>206</v>
      </c>
      <c r="F136" s="369" t="s">
        <v>231</v>
      </c>
      <c r="G136" s="369">
        <v>867001</v>
      </c>
      <c r="H136" s="369">
        <v>3</v>
      </c>
      <c r="I136" s="369"/>
      <c r="J136" s="370"/>
      <c r="K136" s="371">
        <v>2</v>
      </c>
      <c r="L136" s="371"/>
      <c r="M136" s="371"/>
      <c r="N136" s="369">
        <v>2</v>
      </c>
      <c r="O136" s="372"/>
      <c r="P136" s="369">
        <v>90</v>
      </c>
      <c r="Q136" s="369"/>
      <c r="R136" s="370"/>
      <c r="S136" s="539">
        <v>270</v>
      </c>
      <c r="T136" s="368"/>
      <c r="U136" s="368"/>
      <c r="V136" s="368"/>
      <c r="W136" s="368"/>
      <c r="X136" s="368"/>
      <c r="Y136" s="6"/>
      <c r="Z136" s="368"/>
      <c r="AA136" s="368"/>
      <c r="AB136" s="368"/>
      <c r="AC136" s="368"/>
      <c r="AD136" s="15"/>
    </row>
    <row r="137" spans="1:30" x14ac:dyDescent="0.25">
      <c r="A137" s="534"/>
      <c r="B137" s="534"/>
      <c r="C137" s="537"/>
      <c r="D137" s="534"/>
      <c r="E137" s="534"/>
      <c r="F137" s="373" t="s">
        <v>230</v>
      </c>
      <c r="G137" s="373">
        <v>864002</v>
      </c>
      <c r="H137" s="373">
        <v>3</v>
      </c>
      <c r="I137" s="373"/>
      <c r="J137" s="374"/>
      <c r="K137" s="375">
        <v>1</v>
      </c>
      <c r="L137" s="375"/>
      <c r="M137" s="375"/>
      <c r="N137" s="373">
        <v>1</v>
      </c>
      <c r="O137" s="376"/>
      <c r="P137" s="373">
        <v>45</v>
      </c>
      <c r="Q137" s="373"/>
      <c r="R137" s="374"/>
      <c r="S137" s="540"/>
      <c r="T137" s="368"/>
      <c r="U137" s="368"/>
      <c r="V137" s="368"/>
      <c r="W137" s="368"/>
      <c r="X137" s="368"/>
      <c r="Y137" s="6"/>
      <c r="Z137" s="368"/>
      <c r="AA137" s="368"/>
      <c r="AB137" s="368"/>
      <c r="AC137" s="368"/>
      <c r="AD137" s="15"/>
    </row>
    <row r="138" spans="1:30" x14ac:dyDescent="0.25">
      <c r="A138" s="534"/>
      <c r="B138" s="534"/>
      <c r="C138" s="537"/>
      <c r="D138" s="534"/>
      <c r="E138" s="534"/>
      <c r="F138" s="373" t="s">
        <v>229</v>
      </c>
      <c r="G138" s="373">
        <v>864001</v>
      </c>
      <c r="H138" s="373">
        <v>3</v>
      </c>
      <c r="I138" s="373"/>
      <c r="J138" s="374"/>
      <c r="K138" s="375">
        <v>1</v>
      </c>
      <c r="L138" s="375"/>
      <c r="M138" s="375"/>
      <c r="N138" s="373">
        <v>1</v>
      </c>
      <c r="O138" s="376"/>
      <c r="P138" s="373">
        <v>45</v>
      </c>
      <c r="Q138" s="373"/>
      <c r="R138" s="374"/>
      <c r="S138" s="540"/>
      <c r="T138" s="368"/>
      <c r="U138" s="368"/>
      <c r="V138" s="368"/>
      <c r="W138" s="368"/>
      <c r="X138" s="368"/>
      <c r="Y138" s="6"/>
      <c r="Z138" s="368"/>
      <c r="AA138" s="368"/>
      <c r="AB138" s="368"/>
      <c r="AC138" s="368"/>
      <c r="AD138" s="15"/>
    </row>
    <row r="139" spans="1:30" x14ac:dyDescent="0.25">
      <c r="A139" s="534"/>
      <c r="B139" s="534"/>
      <c r="C139" s="537"/>
      <c r="D139" s="534"/>
      <c r="E139" s="534"/>
      <c r="F139" s="373" t="s">
        <v>233</v>
      </c>
      <c r="G139" s="373">
        <v>841401</v>
      </c>
      <c r="H139" s="373">
        <v>3</v>
      </c>
      <c r="I139" s="373">
        <v>45</v>
      </c>
      <c r="J139" s="374"/>
      <c r="K139" s="375">
        <v>2</v>
      </c>
      <c r="L139" s="375"/>
      <c r="M139" s="375"/>
      <c r="N139" s="373">
        <v>2</v>
      </c>
      <c r="O139" s="376"/>
      <c r="P139" s="373">
        <v>90</v>
      </c>
      <c r="Q139" s="373"/>
      <c r="R139" s="374"/>
      <c r="S139" s="540"/>
      <c r="T139" s="368"/>
      <c r="U139" s="368"/>
      <c r="V139" s="368"/>
      <c r="W139" s="368"/>
      <c r="X139" s="368"/>
      <c r="Y139" s="6"/>
      <c r="Z139" s="368"/>
      <c r="AA139" s="368"/>
      <c r="AB139" s="368"/>
      <c r="AC139" s="368"/>
      <c r="AD139" s="15"/>
    </row>
    <row r="140" spans="1:30" x14ac:dyDescent="0.25">
      <c r="A140" s="535"/>
      <c r="B140" s="535"/>
      <c r="C140" s="538"/>
      <c r="D140" s="535"/>
      <c r="E140" s="535"/>
      <c r="F140" s="542" t="s">
        <v>227</v>
      </c>
      <c r="G140" s="543"/>
      <c r="H140" s="543"/>
      <c r="I140" s="543"/>
      <c r="J140" s="543"/>
      <c r="K140" s="543"/>
      <c r="L140" s="543"/>
      <c r="M140" s="543"/>
      <c r="N140" s="543"/>
      <c r="O140" s="544"/>
      <c r="P140" s="377">
        <f>SUM(P136:P139)</f>
        <v>270</v>
      </c>
      <c r="Q140" s="377" t="s">
        <v>227</v>
      </c>
      <c r="R140" s="378">
        <v>0</v>
      </c>
      <c r="S140" s="541"/>
      <c r="T140" s="368"/>
      <c r="U140" s="368"/>
      <c r="V140" s="368"/>
      <c r="W140" s="368"/>
      <c r="X140" s="368"/>
      <c r="Y140" s="6"/>
      <c r="Z140" s="368"/>
      <c r="AA140" s="368"/>
      <c r="AB140" s="368"/>
      <c r="AC140" s="368"/>
      <c r="AD140" s="15"/>
    </row>
    <row r="141" spans="1:30" ht="31.5" x14ac:dyDescent="0.25">
      <c r="A141" s="533">
        <v>23</v>
      </c>
      <c r="B141" s="533">
        <v>10903</v>
      </c>
      <c r="C141" s="536" t="s">
        <v>161</v>
      </c>
      <c r="D141" s="533">
        <v>1982</v>
      </c>
      <c r="E141" s="533" t="s">
        <v>206</v>
      </c>
      <c r="F141" s="369" t="s">
        <v>231</v>
      </c>
      <c r="G141" s="369">
        <v>867001</v>
      </c>
      <c r="H141" s="369">
        <v>3</v>
      </c>
      <c r="I141" s="369"/>
      <c r="J141" s="370"/>
      <c r="K141" s="371">
        <v>4</v>
      </c>
      <c r="L141" s="371"/>
      <c r="M141" s="371"/>
      <c r="N141" s="369">
        <v>1</v>
      </c>
      <c r="O141" s="372">
        <v>3</v>
      </c>
      <c r="P141" s="369">
        <v>180</v>
      </c>
      <c r="Q141" s="369" t="s">
        <v>215</v>
      </c>
      <c r="R141" s="370" t="s">
        <v>392</v>
      </c>
      <c r="S141" s="539">
        <v>413</v>
      </c>
      <c r="T141" s="368"/>
      <c r="U141" s="368"/>
      <c r="V141" s="368"/>
      <c r="W141" s="368"/>
      <c r="X141" s="368"/>
      <c r="Y141" s="6"/>
      <c r="Z141" s="368"/>
      <c r="AA141" s="368"/>
      <c r="AB141" s="368"/>
      <c r="AC141" s="368"/>
      <c r="AD141" s="15"/>
    </row>
    <row r="142" spans="1:30" x14ac:dyDescent="0.25">
      <c r="A142" s="534"/>
      <c r="B142" s="534"/>
      <c r="C142" s="537"/>
      <c r="D142" s="534"/>
      <c r="E142" s="534"/>
      <c r="F142" s="373" t="s">
        <v>169</v>
      </c>
      <c r="G142" s="373">
        <v>848046</v>
      </c>
      <c r="H142" s="373">
        <v>3</v>
      </c>
      <c r="I142" s="373">
        <v>45</v>
      </c>
      <c r="J142" s="374"/>
      <c r="K142" s="375">
        <v>1</v>
      </c>
      <c r="L142" s="375"/>
      <c r="M142" s="375"/>
      <c r="N142" s="373"/>
      <c r="O142" s="376">
        <v>1</v>
      </c>
      <c r="P142" s="373">
        <v>45</v>
      </c>
      <c r="Q142" s="373"/>
      <c r="R142" s="374"/>
      <c r="S142" s="540"/>
      <c r="T142" s="368"/>
      <c r="U142" s="368"/>
      <c r="V142" s="368"/>
      <c r="W142" s="368"/>
      <c r="X142" s="368"/>
      <c r="Y142" s="6"/>
      <c r="Z142" s="368"/>
      <c r="AA142" s="368"/>
      <c r="AB142" s="368"/>
      <c r="AC142" s="368"/>
      <c r="AD142" s="15"/>
    </row>
    <row r="143" spans="1:30" x14ac:dyDescent="0.25">
      <c r="A143" s="534"/>
      <c r="B143" s="534"/>
      <c r="C143" s="537"/>
      <c r="D143" s="534"/>
      <c r="E143" s="534"/>
      <c r="F143" s="373" t="s">
        <v>248</v>
      </c>
      <c r="G143" s="373">
        <v>833006</v>
      </c>
      <c r="H143" s="373">
        <v>3</v>
      </c>
      <c r="I143" s="373">
        <v>45</v>
      </c>
      <c r="J143" s="374"/>
      <c r="K143" s="375">
        <v>3</v>
      </c>
      <c r="L143" s="375"/>
      <c r="M143" s="375"/>
      <c r="N143" s="373">
        <v>3</v>
      </c>
      <c r="O143" s="376"/>
      <c r="P143" s="373">
        <v>135</v>
      </c>
      <c r="Q143" s="373"/>
      <c r="R143" s="374"/>
      <c r="S143" s="540"/>
      <c r="T143" s="368"/>
      <c r="U143" s="368"/>
      <c r="V143" s="368"/>
      <c r="W143" s="368"/>
      <c r="X143" s="368"/>
      <c r="Y143" s="6"/>
      <c r="Z143" s="368"/>
      <c r="AA143" s="368"/>
      <c r="AB143" s="368"/>
      <c r="AC143" s="368"/>
      <c r="AD143" s="15"/>
    </row>
    <row r="144" spans="1:30" x14ac:dyDescent="0.25">
      <c r="A144" s="535"/>
      <c r="B144" s="535"/>
      <c r="C144" s="538"/>
      <c r="D144" s="535"/>
      <c r="E144" s="535"/>
      <c r="F144" s="542" t="s">
        <v>227</v>
      </c>
      <c r="G144" s="543"/>
      <c r="H144" s="543"/>
      <c r="I144" s="543"/>
      <c r="J144" s="543"/>
      <c r="K144" s="543"/>
      <c r="L144" s="543"/>
      <c r="M144" s="543"/>
      <c r="N144" s="543"/>
      <c r="O144" s="544"/>
      <c r="P144" s="377">
        <f>SUM(P141:P143)</f>
        <v>360</v>
      </c>
      <c r="Q144" s="377" t="s">
        <v>227</v>
      </c>
      <c r="R144" s="378">
        <v>53</v>
      </c>
      <c r="S144" s="541"/>
      <c r="T144" s="368"/>
      <c r="U144" s="368"/>
      <c r="V144" s="368"/>
      <c r="W144" s="368"/>
      <c r="X144" s="368"/>
      <c r="Y144" s="6"/>
      <c r="Z144" s="368"/>
      <c r="AA144" s="368"/>
      <c r="AB144" s="368"/>
      <c r="AC144" s="368"/>
      <c r="AD144" s="15"/>
    </row>
    <row r="145" spans="1:30" ht="31.5" x14ac:dyDescent="0.25">
      <c r="A145" s="533">
        <v>24</v>
      </c>
      <c r="B145" s="533">
        <v>11107</v>
      </c>
      <c r="C145" s="536" t="s">
        <v>177</v>
      </c>
      <c r="D145" s="533">
        <v>1981</v>
      </c>
      <c r="E145" s="533" t="s">
        <v>206</v>
      </c>
      <c r="F145" s="369" t="s">
        <v>234</v>
      </c>
      <c r="G145" s="369">
        <v>864006</v>
      </c>
      <c r="H145" s="369">
        <v>3</v>
      </c>
      <c r="I145" s="369"/>
      <c r="J145" s="370"/>
      <c r="K145" s="371">
        <v>1</v>
      </c>
      <c r="L145" s="371"/>
      <c r="M145" s="371"/>
      <c r="N145" s="369"/>
      <c r="O145" s="372">
        <v>1</v>
      </c>
      <c r="P145" s="369">
        <v>45</v>
      </c>
      <c r="Q145" s="369" t="s">
        <v>330</v>
      </c>
      <c r="R145" s="370" t="s">
        <v>394</v>
      </c>
      <c r="S145" s="539">
        <v>430</v>
      </c>
      <c r="T145" s="368"/>
      <c r="U145" s="368"/>
      <c r="V145" s="368"/>
      <c r="W145" s="368"/>
      <c r="X145" s="368"/>
      <c r="Y145" s="6"/>
      <c r="Z145" s="368"/>
      <c r="AA145" s="368"/>
      <c r="AB145" s="368"/>
      <c r="AC145" s="368"/>
      <c r="AD145" s="15"/>
    </row>
    <row r="146" spans="1:30" x14ac:dyDescent="0.25">
      <c r="A146" s="534"/>
      <c r="B146" s="534"/>
      <c r="C146" s="537"/>
      <c r="D146" s="534"/>
      <c r="E146" s="534"/>
      <c r="F146" s="373" t="s">
        <v>229</v>
      </c>
      <c r="G146" s="373">
        <v>864001</v>
      </c>
      <c r="H146" s="373">
        <v>3</v>
      </c>
      <c r="I146" s="373"/>
      <c r="J146" s="374"/>
      <c r="K146" s="375">
        <v>2</v>
      </c>
      <c r="L146" s="375"/>
      <c r="M146" s="375"/>
      <c r="N146" s="373"/>
      <c r="O146" s="376">
        <v>2</v>
      </c>
      <c r="P146" s="373">
        <v>90</v>
      </c>
      <c r="Q146" s="373"/>
      <c r="R146" s="374"/>
      <c r="S146" s="540"/>
      <c r="T146" s="368"/>
      <c r="U146" s="368"/>
      <c r="V146" s="368"/>
      <c r="W146" s="368"/>
      <c r="X146" s="368"/>
      <c r="Y146" s="6"/>
      <c r="Z146" s="368"/>
      <c r="AA146" s="368"/>
      <c r="AB146" s="368"/>
      <c r="AC146" s="368"/>
      <c r="AD146" s="15"/>
    </row>
    <row r="147" spans="1:30" x14ac:dyDescent="0.25">
      <c r="A147" s="534"/>
      <c r="B147" s="534"/>
      <c r="C147" s="537"/>
      <c r="D147" s="534"/>
      <c r="E147" s="534"/>
      <c r="F147" s="373" t="s">
        <v>152</v>
      </c>
      <c r="G147" s="373">
        <v>848109</v>
      </c>
      <c r="H147" s="373">
        <v>4</v>
      </c>
      <c r="I147" s="373">
        <v>60</v>
      </c>
      <c r="J147" s="374"/>
      <c r="K147" s="375">
        <v>1</v>
      </c>
      <c r="L147" s="375"/>
      <c r="M147" s="375"/>
      <c r="N147" s="373">
        <v>1</v>
      </c>
      <c r="O147" s="376"/>
      <c r="P147" s="373">
        <v>60</v>
      </c>
      <c r="Q147" s="373"/>
      <c r="R147" s="374"/>
      <c r="S147" s="540"/>
      <c r="T147" s="368"/>
      <c r="U147" s="368"/>
      <c r="V147" s="368"/>
      <c r="W147" s="368"/>
      <c r="X147" s="368"/>
      <c r="Y147" s="6"/>
      <c r="Z147" s="368"/>
      <c r="AA147" s="368"/>
      <c r="AB147" s="368"/>
      <c r="AC147" s="368"/>
      <c r="AD147" s="15"/>
    </row>
    <row r="148" spans="1:30" x14ac:dyDescent="0.25">
      <c r="A148" s="534"/>
      <c r="B148" s="534"/>
      <c r="C148" s="537"/>
      <c r="D148" s="534"/>
      <c r="E148" s="534"/>
      <c r="F148" s="373" t="s">
        <v>248</v>
      </c>
      <c r="G148" s="373">
        <v>833006</v>
      </c>
      <c r="H148" s="373">
        <v>3</v>
      </c>
      <c r="I148" s="373">
        <v>45</v>
      </c>
      <c r="J148" s="374"/>
      <c r="K148" s="375">
        <v>2</v>
      </c>
      <c r="L148" s="375"/>
      <c r="M148" s="375"/>
      <c r="N148" s="373">
        <v>2</v>
      </c>
      <c r="O148" s="376"/>
      <c r="P148" s="373">
        <v>90</v>
      </c>
      <c r="Q148" s="373"/>
      <c r="R148" s="374"/>
      <c r="S148" s="540"/>
      <c r="T148" s="368"/>
      <c r="U148" s="368"/>
      <c r="V148" s="368"/>
      <c r="W148" s="368"/>
      <c r="X148" s="368"/>
      <c r="Y148" s="6"/>
      <c r="Z148" s="368"/>
      <c r="AA148" s="368"/>
      <c r="AB148" s="368"/>
      <c r="AC148" s="368"/>
      <c r="AD148" s="15"/>
    </row>
    <row r="149" spans="1:30" x14ac:dyDescent="0.25">
      <c r="A149" s="534"/>
      <c r="B149" s="534"/>
      <c r="C149" s="537"/>
      <c r="D149" s="534"/>
      <c r="E149" s="534"/>
      <c r="F149" s="373" t="s">
        <v>334</v>
      </c>
      <c r="G149" s="373">
        <v>832006</v>
      </c>
      <c r="H149" s="373">
        <v>3</v>
      </c>
      <c r="I149" s="373">
        <v>45</v>
      </c>
      <c r="J149" s="374"/>
      <c r="K149" s="375">
        <v>1</v>
      </c>
      <c r="L149" s="375"/>
      <c r="M149" s="375"/>
      <c r="N149" s="373">
        <v>1</v>
      </c>
      <c r="O149" s="376"/>
      <c r="P149" s="373">
        <v>45</v>
      </c>
      <c r="Q149" s="373"/>
      <c r="R149" s="374"/>
      <c r="S149" s="540"/>
      <c r="T149" s="368"/>
      <c r="U149" s="368"/>
      <c r="V149" s="368"/>
      <c r="W149" s="368"/>
      <c r="X149" s="368"/>
      <c r="Y149" s="6"/>
      <c r="Z149" s="368"/>
      <c r="AA149" s="368"/>
      <c r="AB149" s="368"/>
      <c r="AC149" s="368"/>
      <c r="AD149" s="15"/>
    </row>
    <row r="150" spans="1:30" x14ac:dyDescent="0.25">
      <c r="A150" s="534"/>
      <c r="B150" s="534"/>
      <c r="C150" s="537"/>
      <c r="D150" s="534"/>
      <c r="E150" s="534"/>
      <c r="F150" s="373" t="s">
        <v>272</v>
      </c>
      <c r="G150" s="373">
        <v>801407</v>
      </c>
      <c r="H150" s="373">
        <v>2</v>
      </c>
      <c r="I150" s="373">
        <v>30</v>
      </c>
      <c r="J150" s="374"/>
      <c r="K150" s="375">
        <v>1</v>
      </c>
      <c r="L150" s="375"/>
      <c r="M150" s="375"/>
      <c r="N150" s="373">
        <v>1</v>
      </c>
      <c r="O150" s="376"/>
      <c r="P150" s="373">
        <v>30</v>
      </c>
      <c r="Q150" s="373"/>
      <c r="R150" s="374"/>
      <c r="S150" s="540"/>
      <c r="T150" s="368"/>
      <c r="U150" s="368"/>
      <c r="V150" s="368"/>
      <c r="W150" s="368"/>
      <c r="X150" s="368"/>
      <c r="Y150" s="6"/>
      <c r="Z150" s="368"/>
      <c r="AA150" s="368"/>
      <c r="AB150" s="368"/>
      <c r="AC150" s="368"/>
      <c r="AD150" s="15"/>
    </row>
    <row r="151" spans="1:30" x14ac:dyDescent="0.25">
      <c r="A151" s="535"/>
      <c r="B151" s="535"/>
      <c r="C151" s="538"/>
      <c r="D151" s="535"/>
      <c r="E151" s="535"/>
      <c r="F151" s="542" t="s">
        <v>227</v>
      </c>
      <c r="G151" s="543"/>
      <c r="H151" s="543"/>
      <c r="I151" s="543"/>
      <c r="J151" s="543"/>
      <c r="K151" s="543"/>
      <c r="L151" s="543"/>
      <c r="M151" s="543"/>
      <c r="N151" s="543"/>
      <c r="O151" s="544"/>
      <c r="P151" s="377">
        <f>SUM(P145:P150)</f>
        <v>360</v>
      </c>
      <c r="Q151" s="377" t="s">
        <v>227</v>
      </c>
      <c r="R151" s="378">
        <v>70</v>
      </c>
      <c r="S151" s="541"/>
      <c r="T151" s="368"/>
      <c r="U151" s="368"/>
      <c r="V151" s="368"/>
      <c r="W151" s="368"/>
      <c r="X151" s="368"/>
      <c r="Y151" s="6"/>
      <c r="Z151" s="368"/>
      <c r="AA151" s="368"/>
      <c r="AB151" s="368"/>
      <c r="AC151" s="368"/>
      <c r="AD151" s="15"/>
    </row>
    <row r="152" spans="1:30" x14ac:dyDescent="0.25">
      <c r="A152" s="533">
        <v>25</v>
      </c>
      <c r="B152" s="533">
        <v>10826</v>
      </c>
      <c r="C152" s="536" t="s">
        <v>191</v>
      </c>
      <c r="D152" s="533">
        <v>1987</v>
      </c>
      <c r="E152" s="533" t="s">
        <v>309</v>
      </c>
      <c r="F152" s="369" t="s">
        <v>184</v>
      </c>
      <c r="G152" s="369">
        <v>848001</v>
      </c>
      <c r="H152" s="369">
        <v>6</v>
      </c>
      <c r="I152" s="369">
        <v>90</v>
      </c>
      <c r="J152" s="370"/>
      <c r="K152" s="371">
        <v>2</v>
      </c>
      <c r="L152" s="371"/>
      <c r="M152" s="371"/>
      <c r="N152" s="369">
        <v>2</v>
      </c>
      <c r="O152" s="372"/>
      <c r="P152" s="369">
        <v>120</v>
      </c>
      <c r="Q152" s="369" t="s">
        <v>376</v>
      </c>
      <c r="R152" s="370" t="s">
        <v>395</v>
      </c>
      <c r="S152" s="539">
        <v>647.5</v>
      </c>
      <c r="T152" s="368"/>
      <c r="U152" s="368"/>
      <c r="V152" s="368"/>
      <c r="W152" s="368"/>
      <c r="X152" s="368"/>
      <c r="Y152" s="6"/>
      <c r="Z152" s="368"/>
      <c r="AA152" s="368"/>
      <c r="AB152" s="368"/>
      <c r="AC152" s="368"/>
      <c r="AD152" s="15"/>
    </row>
    <row r="153" spans="1:30" ht="31.5" x14ac:dyDescent="0.25">
      <c r="A153" s="534"/>
      <c r="B153" s="534"/>
      <c r="C153" s="537"/>
      <c r="D153" s="534"/>
      <c r="E153" s="534"/>
      <c r="F153" s="373" t="s">
        <v>324</v>
      </c>
      <c r="G153" s="373">
        <v>841405</v>
      </c>
      <c r="H153" s="373">
        <v>3</v>
      </c>
      <c r="I153" s="373">
        <v>45</v>
      </c>
      <c r="J153" s="374"/>
      <c r="K153" s="375">
        <v>2</v>
      </c>
      <c r="L153" s="375"/>
      <c r="M153" s="375"/>
      <c r="N153" s="373"/>
      <c r="O153" s="376">
        <v>2</v>
      </c>
      <c r="P153" s="373">
        <v>60</v>
      </c>
      <c r="Q153" s="373" t="s">
        <v>375</v>
      </c>
      <c r="R153" s="374" t="s">
        <v>367</v>
      </c>
      <c r="S153" s="540"/>
      <c r="T153" s="368"/>
      <c r="U153" s="368"/>
      <c r="V153" s="368"/>
      <c r="W153" s="368"/>
      <c r="X153" s="368"/>
      <c r="Y153" s="6"/>
      <c r="Z153" s="368"/>
      <c r="AA153" s="368"/>
      <c r="AB153" s="368"/>
      <c r="AC153" s="368"/>
      <c r="AD153" s="15"/>
    </row>
    <row r="154" spans="1:30" ht="31.5" x14ac:dyDescent="0.25">
      <c r="A154" s="534"/>
      <c r="B154" s="534"/>
      <c r="C154" s="537"/>
      <c r="D154" s="534"/>
      <c r="E154" s="534"/>
      <c r="F154" s="373" t="s">
        <v>197</v>
      </c>
      <c r="G154" s="373">
        <v>801402</v>
      </c>
      <c r="H154" s="373">
        <v>6</v>
      </c>
      <c r="I154" s="373">
        <v>90</v>
      </c>
      <c r="J154" s="374"/>
      <c r="K154" s="375">
        <v>1</v>
      </c>
      <c r="L154" s="375"/>
      <c r="M154" s="375"/>
      <c r="N154" s="373">
        <v>1</v>
      </c>
      <c r="O154" s="376"/>
      <c r="P154" s="373">
        <v>60</v>
      </c>
      <c r="Q154" s="373" t="s">
        <v>377</v>
      </c>
      <c r="R154" s="374" t="s">
        <v>378</v>
      </c>
      <c r="S154" s="540"/>
      <c r="T154" s="368"/>
      <c r="U154" s="368"/>
      <c r="V154" s="368"/>
      <c r="W154" s="368"/>
      <c r="X154" s="368"/>
      <c r="Y154" s="6"/>
      <c r="Z154" s="368"/>
      <c r="AA154" s="368"/>
      <c r="AB154" s="368"/>
      <c r="AC154" s="368"/>
      <c r="AD154" s="15"/>
    </row>
    <row r="155" spans="1:30" x14ac:dyDescent="0.25">
      <c r="A155" s="534"/>
      <c r="B155" s="534"/>
      <c r="C155" s="537"/>
      <c r="D155" s="534"/>
      <c r="E155" s="534"/>
      <c r="F155" s="373" t="s">
        <v>131</v>
      </c>
      <c r="G155" s="373">
        <v>801303</v>
      </c>
      <c r="H155" s="373">
        <v>3</v>
      </c>
      <c r="I155" s="373">
        <v>45</v>
      </c>
      <c r="J155" s="374"/>
      <c r="K155" s="375">
        <v>1</v>
      </c>
      <c r="L155" s="375"/>
      <c r="M155" s="375"/>
      <c r="N155" s="373">
        <v>1</v>
      </c>
      <c r="O155" s="376"/>
      <c r="P155" s="373">
        <v>30</v>
      </c>
      <c r="Q155" s="373" t="s">
        <v>379</v>
      </c>
      <c r="R155" s="374" t="s">
        <v>392</v>
      </c>
      <c r="S155" s="540"/>
      <c r="T155" s="368"/>
      <c r="U155" s="368"/>
      <c r="V155" s="368"/>
      <c r="W155" s="368"/>
      <c r="X155" s="368"/>
      <c r="Y155" s="6"/>
      <c r="Z155" s="368"/>
      <c r="AA155" s="368"/>
      <c r="AB155" s="368"/>
      <c r="AC155" s="368"/>
      <c r="AD155" s="15"/>
    </row>
    <row r="156" spans="1:30" x14ac:dyDescent="0.25">
      <c r="A156" s="534"/>
      <c r="B156" s="534"/>
      <c r="C156" s="537"/>
      <c r="D156" s="534"/>
      <c r="E156" s="534"/>
      <c r="F156" s="373"/>
      <c r="G156" s="373"/>
      <c r="H156" s="373"/>
      <c r="I156" s="373"/>
      <c r="J156" s="374"/>
      <c r="K156" s="375"/>
      <c r="L156" s="375"/>
      <c r="M156" s="375"/>
      <c r="N156" s="373"/>
      <c r="O156" s="376"/>
      <c r="P156" s="373"/>
      <c r="Q156" s="373" t="s">
        <v>381</v>
      </c>
      <c r="R156" s="374" t="s">
        <v>380</v>
      </c>
      <c r="S156" s="540"/>
      <c r="T156" s="368"/>
      <c r="U156" s="368"/>
      <c r="V156" s="368"/>
      <c r="W156" s="368"/>
      <c r="X156" s="368"/>
      <c r="Y156" s="6"/>
      <c r="Z156" s="368"/>
      <c r="AA156" s="368"/>
      <c r="AB156" s="368"/>
      <c r="AC156" s="368"/>
      <c r="AD156" s="15"/>
    </row>
    <row r="157" spans="1:30" x14ac:dyDescent="0.25">
      <c r="A157" s="535"/>
      <c r="B157" s="535"/>
      <c r="C157" s="538"/>
      <c r="D157" s="535"/>
      <c r="E157" s="535"/>
      <c r="F157" s="542" t="s">
        <v>227</v>
      </c>
      <c r="G157" s="543"/>
      <c r="H157" s="543"/>
      <c r="I157" s="543"/>
      <c r="J157" s="543"/>
      <c r="K157" s="543"/>
      <c r="L157" s="543"/>
      <c r="M157" s="543"/>
      <c r="N157" s="543"/>
      <c r="O157" s="544"/>
      <c r="P157" s="377">
        <f>SUM(P152:P156)</f>
        <v>270</v>
      </c>
      <c r="Q157" s="377" t="s">
        <v>227</v>
      </c>
      <c r="R157" s="378">
        <v>377.5</v>
      </c>
      <c r="S157" s="541"/>
      <c r="T157" s="368"/>
      <c r="U157" s="368"/>
      <c r="V157" s="368"/>
      <c r="W157" s="368"/>
      <c r="X157" s="368"/>
      <c r="Y157" s="6"/>
      <c r="Z157" s="368"/>
      <c r="AA157" s="368"/>
      <c r="AB157" s="368"/>
      <c r="AC157" s="368"/>
      <c r="AD157" s="15"/>
    </row>
    <row r="158" spans="1:30" hidden="1" x14ac:dyDescent="0.25">
      <c r="A158" s="533"/>
      <c r="B158" s="533"/>
      <c r="C158" s="536" t="s">
        <v>143</v>
      </c>
      <c r="D158" s="533"/>
      <c r="E158" s="533"/>
      <c r="F158" s="369" t="s">
        <v>126</v>
      </c>
      <c r="G158" s="369">
        <v>801306</v>
      </c>
      <c r="H158" s="369">
        <v>2</v>
      </c>
      <c r="I158" s="369">
        <v>30</v>
      </c>
      <c r="J158" s="370"/>
      <c r="K158" s="371">
        <v>1</v>
      </c>
      <c r="L158" s="371"/>
      <c r="M158" s="371"/>
      <c r="N158" s="369">
        <v>1</v>
      </c>
      <c r="O158" s="372"/>
      <c r="P158" s="369">
        <v>30</v>
      </c>
      <c r="Q158" s="369"/>
      <c r="R158" s="370"/>
      <c r="S158" s="539">
        <v>30</v>
      </c>
      <c r="T158" s="368"/>
      <c r="U158" s="368"/>
      <c r="V158" s="368"/>
      <c r="W158" s="368"/>
      <c r="X158" s="368"/>
      <c r="Y158" s="6"/>
      <c r="Z158" s="368"/>
      <c r="AA158" s="368"/>
      <c r="AB158" s="368"/>
      <c r="AC158" s="368"/>
      <c r="AD158" s="15"/>
    </row>
    <row r="159" spans="1:30" hidden="1" x14ac:dyDescent="0.25">
      <c r="A159" s="535"/>
      <c r="B159" s="535"/>
      <c r="C159" s="538"/>
      <c r="D159" s="535"/>
      <c r="E159" s="535"/>
      <c r="F159" s="542" t="s">
        <v>227</v>
      </c>
      <c r="G159" s="543"/>
      <c r="H159" s="543"/>
      <c r="I159" s="543"/>
      <c r="J159" s="543"/>
      <c r="K159" s="543"/>
      <c r="L159" s="543"/>
      <c r="M159" s="543"/>
      <c r="N159" s="543"/>
      <c r="O159" s="544"/>
      <c r="P159" s="377">
        <f>SUM(P158:P158)</f>
        <v>30</v>
      </c>
      <c r="Q159" s="377" t="s">
        <v>227</v>
      </c>
      <c r="R159" s="378">
        <v>0</v>
      </c>
      <c r="S159" s="541"/>
      <c r="T159" s="368"/>
      <c r="U159" s="368"/>
      <c r="V159" s="368"/>
      <c r="W159" s="368"/>
      <c r="X159" s="368"/>
      <c r="Y159" s="6"/>
      <c r="Z159" s="368"/>
      <c r="AA159" s="368"/>
      <c r="AB159" s="368"/>
      <c r="AC159" s="368"/>
      <c r="AD159" s="15"/>
    </row>
    <row r="160" spans="1:30" hidden="1" x14ac:dyDescent="0.25">
      <c r="A160" s="533"/>
      <c r="B160" s="533"/>
      <c r="C160" s="536" t="s">
        <v>391</v>
      </c>
      <c r="D160" s="533"/>
      <c r="E160" s="533"/>
      <c r="F160" s="369" t="s">
        <v>141</v>
      </c>
      <c r="G160" s="369">
        <v>848002</v>
      </c>
      <c r="H160" s="369">
        <v>6</v>
      </c>
      <c r="I160" s="369">
        <v>90</v>
      </c>
      <c r="J160" s="370"/>
      <c r="K160" s="371">
        <v>1</v>
      </c>
      <c r="L160" s="371"/>
      <c r="M160" s="371"/>
      <c r="N160" s="369"/>
      <c r="O160" s="372">
        <v>1</v>
      </c>
      <c r="P160" s="369">
        <v>30</v>
      </c>
      <c r="Q160" s="369"/>
      <c r="R160" s="370"/>
      <c r="S160" s="539">
        <v>60</v>
      </c>
      <c r="T160" s="368"/>
      <c r="U160" s="368"/>
      <c r="V160" s="368"/>
      <c r="W160" s="368"/>
      <c r="X160" s="368"/>
      <c r="Y160" s="6"/>
      <c r="Z160" s="368"/>
      <c r="AA160" s="368"/>
      <c r="AB160" s="368"/>
      <c r="AC160" s="368"/>
      <c r="AD160" s="15"/>
    </row>
    <row r="161" spans="1:30" hidden="1" x14ac:dyDescent="0.25">
      <c r="A161" s="534"/>
      <c r="B161" s="534"/>
      <c r="C161" s="537"/>
      <c r="D161" s="534"/>
      <c r="E161" s="534"/>
      <c r="F161" s="373" t="s">
        <v>185</v>
      </c>
      <c r="G161" s="373">
        <v>801404</v>
      </c>
      <c r="H161" s="373">
        <v>6</v>
      </c>
      <c r="I161" s="373">
        <v>90</v>
      </c>
      <c r="J161" s="374"/>
      <c r="K161" s="375">
        <v>1</v>
      </c>
      <c r="L161" s="375"/>
      <c r="M161" s="375"/>
      <c r="N161" s="373"/>
      <c r="O161" s="376">
        <v>1</v>
      </c>
      <c r="P161" s="373">
        <v>30</v>
      </c>
      <c r="Q161" s="373"/>
      <c r="R161" s="374"/>
      <c r="S161" s="540"/>
      <c r="T161" s="368"/>
      <c r="U161" s="368"/>
      <c r="V161" s="368"/>
      <c r="W161" s="368"/>
      <c r="X161" s="368"/>
      <c r="Y161" s="6"/>
      <c r="Z161" s="368"/>
      <c r="AA161" s="368"/>
      <c r="AB161" s="368"/>
      <c r="AC161" s="368"/>
      <c r="AD161" s="15"/>
    </row>
    <row r="162" spans="1:30" hidden="1" x14ac:dyDescent="0.25">
      <c r="A162" s="535"/>
      <c r="B162" s="535"/>
      <c r="C162" s="538"/>
      <c r="D162" s="535"/>
      <c r="E162" s="535"/>
      <c r="F162" s="542" t="s">
        <v>227</v>
      </c>
      <c r="G162" s="543"/>
      <c r="H162" s="543"/>
      <c r="I162" s="543"/>
      <c r="J162" s="543"/>
      <c r="K162" s="543"/>
      <c r="L162" s="543"/>
      <c r="M162" s="543"/>
      <c r="N162" s="543"/>
      <c r="O162" s="544"/>
      <c r="P162" s="377">
        <f>SUM(P160:P161)</f>
        <v>60</v>
      </c>
      <c r="Q162" s="377" t="s">
        <v>227</v>
      </c>
      <c r="R162" s="378">
        <v>0</v>
      </c>
      <c r="S162" s="541"/>
      <c r="T162" s="368"/>
      <c r="U162" s="368"/>
      <c r="V162" s="368"/>
      <c r="W162" s="368"/>
      <c r="X162" s="368"/>
      <c r="Y162" s="6"/>
      <c r="Z162" s="368"/>
      <c r="AA162" s="368"/>
      <c r="AB162" s="368"/>
      <c r="AC162" s="368"/>
      <c r="AD162" s="15"/>
    </row>
    <row r="163" spans="1:30" hidden="1" x14ac:dyDescent="0.25">
      <c r="A163" s="533"/>
      <c r="B163" s="533"/>
      <c r="C163" s="536" t="s">
        <v>316</v>
      </c>
      <c r="D163" s="533"/>
      <c r="E163" s="533"/>
      <c r="F163" s="369" t="s">
        <v>141</v>
      </c>
      <c r="G163" s="369">
        <v>848002</v>
      </c>
      <c r="H163" s="369">
        <v>6</v>
      </c>
      <c r="I163" s="369">
        <v>90</v>
      </c>
      <c r="J163" s="370"/>
      <c r="K163" s="371">
        <v>1</v>
      </c>
      <c r="L163" s="371"/>
      <c r="M163" s="371"/>
      <c r="N163" s="369"/>
      <c r="O163" s="372">
        <v>1</v>
      </c>
      <c r="P163" s="369">
        <v>90</v>
      </c>
      <c r="Q163" s="369"/>
      <c r="R163" s="370"/>
      <c r="S163" s="539">
        <v>90</v>
      </c>
      <c r="T163" s="368"/>
      <c r="U163" s="368"/>
      <c r="V163" s="368"/>
      <c r="W163" s="368"/>
      <c r="X163" s="368"/>
      <c r="Y163" s="6"/>
      <c r="Z163" s="368"/>
      <c r="AA163" s="368"/>
      <c r="AB163" s="368"/>
      <c r="AC163" s="368"/>
      <c r="AD163" s="15"/>
    </row>
    <row r="164" spans="1:30" hidden="1" x14ac:dyDescent="0.25">
      <c r="A164" s="535"/>
      <c r="B164" s="535"/>
      <c r="C164" s="538"/>
      <c r="D164" s="535"/>
      <c r="E164" s="535"/>
      <c r="F164" s="542" t="s">
        <v>227</v>
      </c>
      <c r="G164" s="543"/>
      <c r="H164" s="543"/>
      <c r="I164" s="543"/>
      <c r="J164" s="543"/>
      <c r="K164" s="543"/>
      <c r="L164" s="543"/>
      <c r="M164" s="543"/>
      <c r="N164" s="543"/>
      <c r="O164" s="544"/>
      <c r="P164" s="377">
        <f>SUM(P163:P163)</f>
        <v>90</v>
      </c>
      <c r="Q164" s="377" t="s">
        <v>227</v>
      </c>
      <c r="R164" s="378">
        <v>0</v>
      </c>
      <c r="S164" s="541"/>
      <c r="T164" s="368"/>
      <c r="U164" s="368"/>
      <c r="V164" s="368"/>
      <c r="W164" s="368"/>
      <c r="X164" s="368"/>
      <c r="Y164" s="6"/>
      <c r="Z164" s="368"/>
      <c r="AA164" s="368"/>
      <c r="AB164" s="368"/>
      <c r="AC164" s="368"/>
      <c r="AD164" s="15"/>
    </row>
    <row r="165" spans="1:30" hidden="1" x14ac:dyDescent="0.25">
      <c r="A165" s="533"/>
      <c r="B165" s="533"/>
      <c r="C165" s="536" t="s">
        <v>307</v>
      </c>
      <c r="D165" s="533"/>
      <c r="E165" s="533"/>
      <c r="F165" s="369" t="s">
        <v>160</v>
      </c>
      <c r="G165" s="369">
        <v>832106</v>
      </c>
      <c r="H165" s="369">
        <v>3</v>
      </c>
      <c r="I165" s="369">
        <v>45</v>
      </c>
      <c r="J165" s="370"/>
      <c r="K165" s="371">
        <v>1</v>
      </c>
      <c r="L165" s="371"/>
      <c r="M165" s="371"/>
      <c r="N165" s="369">
        <v>1</v>
      </c>
      <c r="O165" s="372"/>
      <c r="P165" s="369">
        <v>45</v>
      </c>
      <c r="Q165" s="369"/>
      <c r="R165" s="370"/>
      <c r="S165" s="539">
        <v>90</v>
      </c>
      <c r="T165" s="368"/>
      <c r="U165" s="368"/>
      <c r="V165" s="368"/>
      <c r="W165" s="368"/>
      <c r="X165" s="368"/>
      <c r="Y165" s="6"/>
      <c r="Z165" s="368"/>
      <c r="AA165" s="368"/>
      <c r="AB165" s="368"/>
      <c r="AC165" s="368"/>
      <c r="AD165" s="15"/>
    </row>
    <row r="166" spans="1:30" hidden="1" x14ac:dyDescent="0.25">
      <c r="A166" s="534"/>
      <c r="B166" s="534"/>
      <c r="C166" s="537"/>
      <c r="D166" s="534"/>
      <c r="E166" s="534"/>
      <c r="F166" s="373" t="s">
        <v>175</v>
      </c>
      <c r="G166" s="373">
        <v>832105</v>
      </c>
      <c r="H166" s="373">
        <v>3</v>
      </c>
      <c r="I166" s="373">
        <v>45</v>
      </c>
      <c r="J166" s="374"/>
      <c r="K166" s="375">
        <v>1</v>
      </c>
      <c r="L166" s="375"/>
      <c r="M166" s="375"/>
      <c r="N166" s="373"/>
      <c r="O166" s="376">
        <v>1</v>
      </c>
      <c r="P166" s="373"/>
      <c r="Q166" s="373"/>
      <c r="R166" s="374"/>
      <c r="S166" s="540"/>
      <c r="T166" s="368"/>
      <c r="U166" s="368"/>
      <c r="V166" s="368"/>
      <c r="W166" s="368"/>
      <c r="X166" s="368"/>
      <c r="Y166" s="6"/>
      <c r="Z166" s="368"/>
      <c r="AA166" s="368"/>
      <c r="AB166" s="368"/>
      <c r="AC166" s="368"/>
      <c r="AD166" s="15"/>
    </row>
    <row r="167" spans="1:30" hidden="1" x14ac:dyDescent="0.25">
      <c r="A167" s="534"/>
      <c r="B167" s="534"/>
      <c r="C167" s="537"/>
      <c r="D167" s="534"/>
      <c r="E167" s="534"/>
      <c r="F167" s="373" t="s">
        <v>291</v>
      </c>
      <c r="G167" s="373">
        <v>832017</v>
      </c>
      <c r="H167" s="373">
        <v>3</v>
      </c>
      <c r="I167" s="373">
        <v>45</v>
      </c>
      <c r="J167" s="374"/>
      <c r="K167" s="375">
        <v>1</v>
      </c>
      <c r="L167" s="375"/>
      <c r="M167" s="375"/>
      <c r="N167" s="373">
        <v>1</v>
      </c>
      <c r="O167" s="376"/>
      <c r="P167" s="373">
        <v>45</v>
      </c>
      <c r="Q167" s="373"/>
      <c r="R167" s="374"/>
      <c r="S167" s="540"/>
      <c r="T167" s="368"/>
      <c r="U167" s="368"/>
      <c r="V167" s="368"/>
      <c r="W167" s="368"/>
      <c r="X167" s="368"/>
      <c r="Y167" s="6"/>
      <c r="Z167" s="368"/>
      <c r="AA167" s="368"/>
      <c r="AB167" s="368"/>
      <c r="AC167" s="368"/>
      <c r="AD167" s="15"/>
    </row>
    <row r="168" spans="1:30" hidden="1" x14ac:dyDescent="0.25">
      <c r="A168" s="535"/>
      <c r="B168" s="535"/>
      <c r="C168" s="538"/>
      <c r="D168" s="535"/>
      <c r="E168" s="535"/>
      <c r="F168" s="542" t="s">
        <v>227</v>
      </c>
      <c r="G168" s="543"/>
      <c r="H168" s="543"/>
      <c r="I168" s="543"/>
      <c r="J168" s="543"/>
      <c r="K168" s="543"/>
      <c r="L168" s="543"/>
      <c r="M168" s="543"/>
      <c r="N168" s="543"/>
      <c r="O168" s="544"/>
      <c r="P168" s="377">
        <f>SUM(P165:P167)</f>
        <v>90</v>
      </c>
      <c r="Q168" s="377" t="s">
        <v>227</v>
      </c>
      <c r="R168" s="378">
        <v>0</v>
      </c>
      <c r="S168" s="541"/>
      <c r="T168" s="368"/>
      <c r="U168" s="368"/>
      <c r="V168" s="368"/>
      <c r="W168" s="368"/>
      <c r="X168" s="368"/>
      <c r="Y168" s="6"/>
      <c r="Z168" s="368"/>
      <c r="AA168" s="368"/>
      <c r="AB168" s="368"/>
      <c r="AC168" s="368"/>
      <c r="AD168" s="15"/>
    </row>
    <row r="169" spans="1:30" hidden="1" x14ac:dyDescent="0.25">
      <c r="A169" s="533"/>
      <c r="B169" s="533"/>
      <c r="C169" s="536" t="s">
        <v>250</v>
      </c>
      <c r="D169" s="533"/>
      <c r="E169" s="533"/>
      <c r="F169" s="369" t="s">
        <v>290</v>
      </c>
      <c r="G169" s="369">
        <v>848411</v>
      </c>
      <c r="H169" s="369">
        <v>4</v>
      </c>
      <c r="I169" s="369">
        <v>75</v>
      </c>
      <c r="J169" s="370"/>
      <c r="K169" s="371">
        <v>1</v>
      </c>
      <c r="L169" s="371"/>
      <c r="M169" s="371"/>
      <c r="N169" s="369"/>
      <c r="O169" s="372">
        <v>1</v>
      </c>
      <c r="P169" s="369"/>
      <c r="Q169" s="369"/>
      <c r="R169" s="370"/>
      <c r="S169" s="539">
        <v>0</v>
      </c>
      <c r="T169" s="368"/>
      <c r="U169" s="368"/>
      <c r="V169" s="368"/>
      <c r="W169" s="368"/>
      <c r="X169" s="368"/>
      <c r="Y169" s="6"/>
      <c r="Z169" s="368"/>
      <c r="AA169" s="368"/>
      <c r="AB169" s="368"/>
      <c r="AC169" s="368"/>
      <c r="AD169" s="15"/>
    </row>
    <row r="170" spans="1:30" hidden="1" x14ac:dyDescent="0.25">
      <c r="A170" s="534"/>
      <c r="B170" s="534"/>
      <c r="C170" s="537"/>
      <c r="D170" s="534"/>
      <c r="E170" s="534"/>
      <c r="F170" s="373" t="s">
        <v>168</v>
      </c>
      <c r="G170" s="373">
        <v>848301</v>
      </c>
      <c r="H170" s="373">
        <v>2</v>
      </c>
      <c r="I170" s="373">
        <v>30</v>
      </c>
      <c r="J170" s="374"/>
      <c r="K170" s="375">
        <v>1</v>
      </c>
      <c r="L170" s="375"/>
      <c r="M170" s="375"/>
      <c r="N170" s="373"/>
      <c r="O170" s="376">
        <v>1</v>
      </c>
      <c r="P170" s="373"/>
      <c r="Q170" s="373"/>
      <c r="R170" s="374"/>
      <c r="S170" s="540"/>
      <c r="T170" s="368"/>
      <c r="U170" s="368"/>
      <c r="V170" s="368"/>
      <c r="W170" s="368"/>
      <c r="X170" s="368"/>
      <c r="Y170" s="6"/>
      <c r="Z170" s="368"/>
      <c r="AA170" s="368"/>
      <c r="AB170" s="368"/>
      <c r="AC170" s="368"/>
      <c r="AD170" s="15"/>
    </row>
    <row r="171" spans="1:30" hidden="1" x14ac:dyDescent="0.25">
      <c r="A171" s="534"/>
      <c r="B171" s="534"/>
      <c r="C171" s="537"/>
      <c r="D171" s="534"/>
      <c r="E171" s="534"/>
      <c r="F171" s="373" t="s">
        <v>164</v>
      </c>
      <c r="G171" s="373">
        <v>848028</v>
      </c>
      <c r="H171" s="373">
        <v>4</v>
      </c>
      <c r="I171" s="373">
        <v>75</v>
      </c>
      <c r="J171" s="374"/>
      <c r="K171" s="375">
        <v>1</v>
      </c>
      <c r="L171" s="375"/>
      <c r="M171" s="375"/>
      <c r="N171" s="373"/>
      <c r="O171" s="376">
        <v>1</v>
      </c>
      <c r="P171" s="373"/>
      <c r="Q171" s="373"/>
      <c r="R171" s="374"/>
      <c r="S171" s="540"/>
      <c r="T171" s="368"/>
      <c r="U171" s="368"/>
      <c r="V171" s="368"/>
      <c r="W171" s="368"/>
      <c r="X171" s="368"/>
      <c r="Y171" s="6"/>
      <c r="Z171" s="368"/>
      <c r="AA171" s="368"/>
      <c r="AB171" s="368"/>
      <c r="AC171" s="368"/>
      <c r="AD171" s="15"/>
    </row>
    <row r="172" spans="1:30" hidden="1" x14ac:dyDescent="0.25">
      <c r="A172" s="534"/>
      <c r="B172" s="534"/>
      <c r="C172" s="537"/>
      <c r="D172" s="534"/>
      <c r="E172" s="534"/>
      <c r="F172" s="373" t="s">
        <v>166</v>
      </c>
      <c r="G172" s="373">
        <v>848024</v>
      </c>
      <c r="H172" s="373">
        <v>3</v>
      </c>
      <c r="I172" s="373">
        <v>45</v>
      </c>
      <c r="J172" s="374"/>
      <c r="K172" s="375">
        <v>1</v>
      </c>
      <c r="L172" s="375"/>
      <c r="M172" s="375"/>
      <c r="N172" s="373"/>
      <c r="O172" s="376">
        <v>1</v>
      </c>
      <c r="P172" s="373"/>
      <c r="Q172" s="373"/>
      <c r="R172" s="374"/>
      <c r="S172" s="540"/>
      <c r="T172" s="368"/>
      <c r="U172" s="368"/>
      <c r="V172" s="368"/>
      <c r="W172" s="368"/>
      <c r="X172" s="368"/>
      <c r="Y172" s="6"/>
      <c r="Z172" s="368"/>
      <c r="AA172" s="368"/>
      <c r="AB172" s="368"/>
      <c r="AC172" s="368"/>
      <c r="AD172" s="15"/>
    </row>
    <row r="173" spans="1:30" hidden="1" x14ac:dyDescent="0.25">
      <c r="A173" s="534"/>
      <c r="B173" s="534"/>
      <c r="C173" s="537"/>
      <c r="D173" s="534"/>
      <c r="E173" s="534"/>
      <c r="F173" s="373" t="s">
        <v>290</v>
      </c>
      <c r="G173" s="373">
        <v>841303</v>
      </c>
      <c r="H173" s="373">
        <v>4</v>
      </c>
      <c r="I173" s="373">
        <v>75</v>
      </c>
      <c r="J173" s="374"/>
      <c r="K173" s="375">
        <v>1</v>
      </c>
      <c r="L173" s="375"/>
      <c r="M173" s="375"/>
      <c r="N173" s="373">
        <v>1</v>
      </c>
      <c r="O173" s="376"/>
      <c r="P173" s="373"/>
      <c r="Q173" s="373"/>
      <c r="R173" s="374"/>
      <c r="S173" s="540"/>
      <c r="T173" s="368"/>
      <c r="U173" s="368"/>
      <c r="V173" s="368"/>
      <c r="W173" s="368"/>
      <c r="X173" s="368"/>
      <c r="Y173" s="6"/>
      <c r="Z173" s="368"/>
      <c r="AA173" s="368"/>
      <c r="AB173" s="368"/>
      <c r="AC173" s="368"/>
      <c r="AD173" s="15"/>
    </row>
    <row r="174" spans="1:30" hidden="1" x14ac:dyDescent="0.25">
      <c r="A174" s="534"/>
      <c r="B174" s="534"/>
      <c r="C174" s="537"/>
      <c r="D174" s="534"/>
      <c r="E174" s="534"/>
      <c r="F174" s="373" t="s">
        <v>150</v>
      </c>
      <c r="G174" s="373">
        <v>841110</v>
      </c>
      <c r="H174" s="373">
        <v>4</v>
      </c>
      <c r="I174" s="373">
        <v>75</v>
      </c>
      <c r="J174" s="374"/>
      <c r="K174" s="375">
        <v>1</v>
      </c>
      <c r="L174" s="375"/>
      <c r="M174" s="375"/>
      <c r="N174" s="373">
        <v>1</v>
      </c>
      <c r="O174" s="376"/>
      <c r="P174" s="373"/>
      <c r="Q174" s="373"/>
      <c r="R174" s="374"/>
      <c r="S174" s="540"/>
      <c r="T174" s="368"/>
      <c r="U174" s="368"/>
      <c r="V174" s="368"/>
      <c r="W174" s="368"/>
      <c r="X174" s="368"/>
      <c r="Y174" s="6"/>
      <c r="Z174" s="368"/>
      <c r="AA174" s="368"/>
      <c r="AB174" s="368"/>
      <c r="AC174" s="368"/>
      <c r="AD174" s="15"/>
    </row>
    <row r="175" spans="1:30" hidden="1" x14ac:dyDescent="0.25">
      <c r="A175" s="534"/>
      <c r="B175" s="534"/>
      <c r="C175" s="537"/>
      <c r="D175" s="534"/>
      <c r="E175" s="534"/>
      <c r="F175" s="373" t="s">
        <v>159</v>
      </c>
      <c r="G175" s="373">
        <v>841109</v>
      </c>
      <c r="H175" s="373">
        <v>4</v>
      </c>
      <c r="I175" s="373">
        <v>75</v>
      </c>
      <c r="J175" s="374"/>
      <c r="K175" s="375">
        <v>1</v>
      </c>
      <c r="L175" s="375"/>
      <c r="M175" s="375"/>
      <c r="N175" s="373">
        <v>1</v>
      </c>
      <c r="O175" s="376"/>
      <c r="P175" s="373"/>
      <c r="Q175" s="373"/>
      <c r="R175" s="374"/>
      <c r="S175" s="540"/>
      <c r="T175" s="368"/>
      <c r="U175" s="368"/>
      <c r="V175" s="368"/>
      <c r="W175" s="368"/>
      <c r="X175" s="368"/>
      <c r="Y175" s="6"/>
      <c r="Z175" s="368"/>
      <c r="AA175" s="368"/>
      <c r="AB175" s="368"/>
      <c r="AC175" s="368"/>
      <c r="AD175" s="15"/>
    </row>
    <row r="176" spans="1:30" hidden="1" x14ac:dyDescent="0.25">
      <c r="A176" s="534"/>
      <c r="B176" s="534"/>
      <c r="C176" s="537"/>
      <c r="D176" s="534"/>
      <c r="E176" s="534"/>
      <c r="F176" s="373" t="s">
        <v>158</v>
      </c>
      <c r="G176" s="373">
        <v>841108</v>
      </c>
      <c r="H176" s="373">
        <v>4</v>
      </c>
      <c r="I176" s="373">
        <v>75</v>
      </c>
      <c r="J176" s="374"/>
      <c r="K176" s="375">
        <v>1</v>
      </c>
      <c r="L176" s="375"/>
      <c r="M176" s="375"/>
      <c r="N176" s="373">
        <v>1</v>
      </c>
      <c r="O176" s="376"/>
      <c r="P176" s="373"/>
      <c r="Q176" s="373"/>
      <c r="R176" s="374"/>
      <c r="S176" s="540"/>
      <c r="T176" s="368"/>
      <c r="U176" s="368"/>
      <c r="V176" s="368"/>
      <c r="W176" s="368"/>
      <c r="X176" s="368"/>
      <c r="Y176" s="6"/>
      <c r="Z176" s="368"/>
      <c r="AA176" s="368"/>
      <c r="AB176" s="368"/>
      <c r="AC176" s="368"/>
      <c r="AD176" s="15"/>
    </row>
    <row r="177" spans="1:30" hidden="1" x14ac:dyDescent="0.25">
      <c r="A177" s="534"/>
      <c r="B177" s="534"/>
      <c r="C177" s="537"/>
      <c r="D177" s="534"/>
      <c r="E177" s="534"/>
      <c r="F177" s="373" t="s">
        <v>285</v>
      </c>
      <c r="G177" s="373">
        <v>841050</v>
      </c>
      <c r="H177" s="373">
        <v>3</v>
      </c>
      <c r="I177" s="373">
        <v>60</v>
      </c>
      <c r="J177" s="374"/>
      <c r="K177" s="375">
        <v>1</v>
      </c>
      <c r="L177" s="375"/>
      <c r="M177" s="375"/>
      <c r="N177" s="373">
        <v>1</v>
      </c>
      <c r="O177" s="376"/>
      <c r="P177" s="373"/>
      <c r="Q177" s="373"/>
      <c r="R177" s="374"/>
      <c r="S177" s="540"/>
      <c r="T177" s="368"/>
      <c r="U177" s="368"/>
      <c r="V177" s="368"/>
      <c r="W177" s="368"/>
      <c r="X177" s="368"/>
      <c r="Y177" s="6"/>
      <c r="Z177" s="368"/>
      <c r="AA177" s="368"/>
      <c r="AB177" s="368"/>
      <c r="AC177" s="368"/>
      <c r="AD177" s="15"/>
    </row>
    <row r="178" spans="1:30" hidden="1" x14ac:dyDescent="0.25">
      <c r="A178" s="534"/>
      <c r="B178" s="534"/>
      <c r="C178" s="537"/>
      <c r="D178" s="534"/>
      <c r="E178" s="534"/>
      <c r="F178" s="373" t="s">
        <v>171</v>
      </c>
      <c r="G178" s="373">
        <v>841048</v>
      </c>
      <c r="H178" s="373">
        <v>4</v>
      </c>
      <c r="I178" s="373">
        <v>75</v>
      </c>
      <c r="J178" s="374"/>
      <c r="K178" s="375">
        <v>1</v>
      </c>
      <c r="L178" s="375"/>
      <c r="M178" s="375"/>
      <c r="N178" s="373"/>
      <c r="O178" s="376">
        <v>1</v>
      </c>
      <c r="P178" s="373"/>
      <c r="Q178" s="373"/>
      <c r="R178" s="374"/>
      <c r="S178" s="540"/>
      <c r="T178" s="368"/>
      <c r="U178" s="368"/>
      <c r="V178" s="368"/>
      <c r="W178" s="368"/>
      <c r="X178" s="368"/>
      <c r="Y178" s="6"/>
      <c r="Z178" s="368"/>
      <c r="AA178" s="368"/>
      <c r="AB178" s="368"/>
      <c r="AC178" s="368"/>
      <c r="AD178" s="15"/>
    </row>
    <row r="179" spans="1:30" hidden="1" x14ac:dyDescent="0.25">
      <c r="A179" s="534"/>
      <c r="B179" s="534"/>
      <c r="C179" s="537"/>
      <c r="D179" s="534"/>
      <c r="E179" s="534"/>
      <c r="F179" s="373" t="s">
        <v>170</v>
      </c>
      <c r="G179" s="373">
        <v>841044</v>
      </c>
      <c r="H179" s="373">
        <v>4</v>
      </c>
      <c r="I179" s="373">
        <v>75</v>
      </c>
      <c r="J179" s="374"/>
      <c r="K179" s="375">
        <v>1</v>
      </c>
      <c r="L179" s="375"/>
      <c r="M179" s="375"/>
      <c r="N179" s="373"/>
      <c r="O179" s="376">
        <v>1</v>
      </c>
      <c r="P179" s="373"/>
      <c r="Q179" s="373"/>
      <c r="R179" s="374"/>
      <c r="S179" s="540"/>
      <c r="T179" s="368"/>
      <c r="U179" s="368"/>
      <c r="V179" s="368"/>
      <c r="W179" s="368"/>
      <c r="X179" s="368"/>
      <c r="Y179" s="6"/>
      <c r="Z179" s="368"/>
      <c r="AA179" s="368"/>
      <c r="AB179" s="368"/>
      <c r="AC179" s="368"/>
      <c r="AD179" s="15"/>
    </row>
    <row r="180" spans="1:30" hidden="1" x14ac:dyDescent="0.25">
      <c r="A180" s="535"/>
      <c r="B180" s="535"/>
      <c r="C180" s="538"/>
      <c r="D180" s="535"/>
      <c r="E180" s="535"/>
      <c r="F180" s="542" t="s">
        <v>227</v>
      </c>
      <c r="G180" s="543"/>
      <c r="H180" s="543"/>
      <c r="I180" s="543"/>
      <c r="J180" s="543"/>
      <c r="K180" s="543"/>
      <c r="L180" s="543"/>
      <c r="M180" s="543"/>
      <c r="N180" s="543"/>
      <c r="O180" s="544"/>
      <c r="P180" s="377">
        <f>SUM(P169:P179)</f>
        <v>0</v>
      </c>
      <c r="Q180" s="377" t="s">
        <v>227</v>
      </c>
      <c r="R180" s="378">
        <v>0</v>
      </c>
      <c r="S180" s="541"/>
      <c r="T180" s="368"/>
      <c r="U180" s="368"/>
      <c r="V180" s="368"/>
      <c r="W180" s="368"/>
      <c r="X180" s="368"/>
      <c r="Y180" s="6"/>
      <c r="Z180" s="368"/>
      <c r="AA180" s="368"/>
      <c r="AB180" s="368"/>
      <c r="AC180" s="368"/>
      <c r="AD180" s="15"/>
    </row>
    <row r="181" spans="1:30" hidden="1" x14ac:dyDescent="0.25">
      <c r="A181" s="533"/>
      <c r="B181" s="533"/>
      <c r="C181" s="536" t="s">
        <v>336</v>
      </c>
      <c r="D181" s="533"/>
      <c r="E181" s="533"/>
      <c r="F181" s="369" t="s">
        <v>295</v>
      </c>
      <c r="G181" s="369">
        <v>842059</v>
      </c>
      <c r="H181" s="369">
        <v>3</v>
      </c>
      <c r="I181" s="369">
        <v>45</v>
      </c>
      <c r="J181" s="370"/>
      <c r="K181" s="371">
        <v>1</v>
      </c>
      <c r="L181" s="371"/>
      <c r="M181" s="371"/>
      <c r="N181" s="369"/>
      <c r="O181" s="372">
        <v>1</v>
      </c>
      <c r="P181" s="369"/>
      <c r="Q181" s="369"/>
      <c r="R181" s="370"/>
      <c r="S181" s="539">
        <v>0</v>
      </c>
      <c r="T181" s="368"/>
      <c r="U181" s="368"/>
      <c r="V181" s="368"/>
      <c r="W181" s="368"/>
      <c r="X181" s="368"/>
      <c r="Y181" s="6"/>
      <c r="Z181" s="368"/>
      <c r="AA181" s="368"/>
      <c r="AB181" s="368"/>
      <c r="AC181" s="368"/>
      <c r="AD181" s="15"/>
    </row>
    <row r="182" spans="1:30" hidden="1" x14ac:dyDescent="0.25">
      <c r="A182" s="535"/>
      <c r="B182" s="535"/>
      <c r="C182" s="538"/>
      <c r="D182" s="535"/>
      <c r="E182" s="535"/>
      <c r="F182" s="542" t="s">
        <v>227</v>
      </c>
      <c r="G182" s="543"/>
      <c r="H182" s="543"/>
      <c r="I182" s="543"/>
      <c r="J182" s="543"/>
      <c r="K182" s="543"/>
      <c r="L182" s="543"/>
      <c r="M182" s="543"/>
      <c r="N182" s="543"/>
      <c r="O182" s="544"/>
      <c r="P182" s="377">
        <f>SUM(P181:P181)</f>
        <v>0</v>
      </c>
      <c r="Q182" s="377" t="s">
        <v>227</v>
      </c>
      <c r="R182" s="378">
        <v>0</v>
      </c>
      <c r="S182" s="541"/>
      <c r="T182" s="368"/>
      <c r="U182" s="368"/>
      <c r="V182" s="368"/>
      <c r="W182" s="368"/>
      <c r="X182" s="368"/>
      <c r="Y182" s="6"/>
      <c r="Z182" s="368"/>
      <c r="AA182" s="368"/>
      <c r="AB182" s="368"/>
      <c r="AC182" s="368"/>
      <c r="AD182" s="15"/>
    </row>
    <row r="183" spans="1:30" ht="31.5" x14ac:dyDescent="0.25">
      <c r="A183" s="533">
        <v>26</v>
      </c>
      <c r="B183" s="533">
        <v>10898</v>
      </c>
      <c r="C183" s="536" t="s">
        <v>188</v>
      </c>
      <c r="D183" s="533">
        <v>1988</v>
      </c>
      <c r="E183" s="533" t="s">
        <v>202</v>
      </c>
      <c r="F183" s="369" t="s">
        <v>231</v>
      </c>
      <c r="G183" s="369">
        <v>867001</v>
      </c>
      <c r="H183" s="369">
        <v>3</v>
      </c>
      <c r="I183" s="369"/>
      <c r="J183" s="370"/>
      <c r="K183" s="371">
        <v>1</v>
      </c>
      <c r="L183" s="371"/>
      <c r="M183" s="371"/>
      <c r="N183" s="369">
        <v>1</v>
      </c>
      <c r="O183" s="372"/>
      <c r="P183" s="369">
        <v>45</v>
      </c>
      <c r="Q183" s="369" t="s">
        <v>370</v>
      </c>
      <c r="R183" s="370" t="s">
        <v>392</v>
      </c>
      <c r="S183" s="539">
        <v>428</v>
      </c>
      <c r="T183" s="368"/>
      <c r="U183" s="368"/>
      <c r="V183" s="368"/>
      <c r="W183" s="368"/>
      <c r="X183" s="368"/>
      <c r="Y183" s="6"/>
      <c r="Z183" s="368"/>
      <c r="AA183" s="368"/>
      <c r="AB183" s="368"/>
      <c r="AC183" s="368"/>
      <c r="AD183" s="15"/>
    </row>
    <row r="184" spans="1:30" x14ac:dyDescent="0.25">
      <c r="A184" s="534"/>
      <c r="B184" s="534"/>
      <c r="C184" s="537"/>
      <c r="D184" s="534"/>
      <c r="E184" s="534"/>
      <c r="F184" s="373" t="s">
        <v>234</v>
      </c>
      <c r="G184" s="373">
        <v>864006</v>
      </c>
      <c r="H184" s="373">
        <v>3</v>
      </c>
      <c r="I184" s="373"/>
      <c r="J184" s="374"/>
      <c r="K184" s="375">
        <v>1</v>
      </c>
      <c r="L184" s="375"/>
      <c r="M184" s="375"/>
      <c r="N184" s="373"/>
      <c r="O184" s="376">
        <v>1</v>
      </c>
      <c r="P184" s="373">
        <v>45</v>
      </c>
      <c r="Q184" s="373"/>
      <c r="R184" s="374"/>
      <c r="S184" s="540"/>
      <c r="T184" s="368"/>
      <c r="U184" s="368"/>
      <c r="V184" s="368"/>
      <c r="W184" s="368"/>
      <c r="X184" s="368"/>
      <c r="Y184" s="6"/>
      <c r="Z184" s="368"/>
      <c r="AA184" s="368"/>
      <c r="AB184" s="368"/>
      <c r="AC184" s="368"/>
      <c r="AD184" s="15"/>
    </row>
    <row r="185" spans="1:30" x14ac:dyDescent="0.25">
      <c r="A185" s="534"/>
      <c r="B185" s="534"/>
      <c r="C185" s="537"/>
      <c r="D185" s="534"/>
      <c r="E185" s="534"/>
      <c r="F185" s="373" t="s">
        <v>324</v>
      </c>
      <c r="G185" s="373">
        <v>841405</v>
      </c>
      <c r="H185" s="373">
        <v>3</v>
      </c>
      <c r="I185" s="373">
        <v>45</v>
      </c>
      <c r="J185" s="374"/>
      <c r="K185" s="375">
        <v>1</v>
      </c>
      <c r="L185" s="375"/>
      <c r="M185" s="375"/>
      <c r="N185" s="373"/>
      <c r="O185" s="376">
        <v>1</v>
      </c>
      <c r="P185" s="373">
        <v>45</v>
      </c>
      <c r="Q185" s="373"/>
      <c r="R185" s="374"/>
      <c r="S185" s="540"/>
      <c r="T185" s="368"/>
      <c r="U185" s="368"/>
      <c r="V185" s="368"/>
      <c r="W185" s="368"/>
      <c r="X185" s="368"/>
      <c r="Y185" s="6"/>
      <c r="Z185" s="368"/>
      <c r="AA185" s="368"/>
      <c r="AB185" s="368"/>
      <c r="AC185" s="368"/>
      <c r="AD185" s="15"/>
    </row>
    <row r="186" spans="1:30" x14ac:dyDescent="0.25">
      <c r="A186" s="534"/>
      <c r="B186" s="534"/>
      <c r="C186" s="537"/>
      <c r="D186" s="534"/>
      <c r="E186" s="534"/>
      <c r="F186" s="373" t="s">
        <v>248</v>
      </c>
      <c r="G186" s="373">
        <v>833006</v>
      </c>
      <c r="H186" s="373">
        <v>3</v>
      </c>
      <c r="I186" s="373">
        <v>45</v>
      </c>
      <c r="J186" s="374"/>
      <c r="K186" s="375">
        <v>1</v>
      </c>
      <c r="L186" s="375"/>
      <c r="M186" s="375"/>
      <c r="N186" s="373">
        <v>1</v>
      </c>
      <c r="O186" s="376"/>
      <c r="P186" s="373">
        <v>45</v>
      </c>
      <c r="Q186" s="373"/>
      <c r="R186" s="374"/>
      <c r="S186" s="540"/>
      <c r="T186" s="368"/>
      <c r="U186" s="368"/>
      <c r="V186" s="368"/>
      <c r="W186" s="368"/>
      <c r="X186" s="368"/>
      <c r="Y186" s="6"/>
      <c r="Z186" s="368"/>
      <c r="AA186" s="368"/>
      <c r="AB186" s="368"/>
      <c r="AC186" s="368"/>
      <c r="AD186" s="15"/>
    </row>
    <row r="187" spans="1:30" x14ac:dyDescent="0.25">
      <c r="A187" s="534"/>
      <c r="B187" s="534"/>
      <c r="C187" s="537"/>
      <c r="D187" s="534"/>
      <c r="E187" s="534"/>
      <c r="F187" s="373" t="s">
        <v>334</v>
      </c>
      <c r="G187" s="373">
        <v>832006</v>
      </c>
      <c r="H187" s="373">
        <v>3</v>
      </c>
      <c r="I187" s="373">
        <v>45</v>
      </c>
      <c r="J187" s="374"/>
      <c r="K187" s="375">
        <v>3</v>
      </c>
      <c r="L187" s="375"/>
      <c r="M187" s="375"/>
      <c r="N187" s="373">
        <v>3</v>
      </c>
      <c r="O187" s="376"/>
      <c r="P187" s="373">
        <v>135</v>
      </c>
      <c r="Q187" s="373"/>
      <c r="R187" s="374"/>
      <c r="S187" s="540"/>
      <c r="T187" s="368"/>
      <c r="U187" s="368"/>
      <c r="V187" s="368"/>
      <c r="W187" s="368"/>
      <c r="X187" s="368"/>
      <c r="Y187" s="6"/>
      <c r="Z187" s="368"/>
      <c r="AA187" s="368"/>
      <c r="AB187" s="368"/>
      <c r="AC187" s="368"/>
      <c r="AD187" s="15"/>
    </row>
    <row r="188" spans="1:30" x14ac:dyDescent="0.25">
      <c r="A188" s="534"/>
      <c r="B188" s="534"/>
      <c r="C188" s="537"/>
      <c r="D188" s="534"/>
      <c r="E188" s="534"/>
      <c r="F188" s="373" t="s">
        <v>242</v>
      </c>
      <c r="G188" s="373">
        <v>803301</v>
      </c>
      <c r="H188" s="373">
        <v>4</v>
      </c>
      <c r="I188" s="373">
        <v>60</v>
      </c>
      <c r="J188" s="374"/>
      <c r="K188" s="375"/>
      <c r="L188" s="375"/>
      <c r="M188" s="375"/>
      <c r="N188" s="373"/>
      <c r="O188" s="376"/>
      <c r="P188" s="373">
        <v>60</v>
      </c>
      <c r="Q188" s="373"/>
      <c r="R188" s="374"/>
      <c r="S188" s="540"/>
      <c r="T188" s="368"/>
      <c r="U188" s="368"/>
      <c r="V188" s="368"/>
      <c r="W188" s="368"/>
      <c r="X188" s="368"/>
      <c r="Y188" s="6"/>
      <c r="Z188" s="368"/>
      <c r="AA188" s="368"/>
      <c r="AB188" s="368"/>
      <c r="AC188" s="368"/>
      <c r="AD188" s="15"/>
    </row>
    <row r="189" spans="1:30" x14ac:dyDescent="0.25">
      <c r="A189" s="535"/>
      <c r="B189" s="535"/>
      <c r="C189" s="538"/>
      <c r="D189" s="535"/>
      <c r="E189" s="535"/>
      <c r="F189" s="542" t="s">
        <v>227</v>
      </c>
      <c r="G189" s="543"/>
      <c r="H189" s="543"/>
      <c r="I189" s="543"/>
      <c r="J189" s="543"/>
      <c r="K189" s="543"/>
      <c r="L189" s="543"/>
      <c r="M189" s="543"/>
      <c r="N189" s="543"/>
      <c r="O189" s="544"/>
      <c r="P189" s="377">
        <f>SUM(P183:P188)</f>
        <v>375</v>
      </c>
      <c r="Q189" s="377" t="s">
        <v>227</v>
      </c>
      <c r="R189" s="378">
        <v>53</v>
      </c>
      <c r="S189" s="541"/>
      <c r="T189" s="368"/>
      <c r="U189" s="368"/>
      <c r="V189" s="368"/>
      <c r="W189" s="368"/>
      <c r="X189" s="368"/>
      <c r="Y189" s="6"/>
      <c r="Z189" s="368"/>
      <c r="AA189" s="368"/>
      <c r="AB189" s="368"/>
      <c r="AC189" s="368"/>
      <c r="AD189" s="15"/>
    </row>
    <row r="190" spans="1:30" x14ac:dyDescent="0.25">
      <c r="A190" s="533">
        <v>27</v>
      </c>
      <c r="B190" s="533">
        <v>10510</v>
      </c>
      <c r="C190" s="536" t="s">
        <v>144</v>
      </c>
      <c r="D190" s="533">
        <v>1977</v>
      </c>
      <c r="E190" s="533" t="s">
        <v>206</v>
      </c>
      <c r="F190" s="369" t="s">
        <v>235</v>
      </c>
      <c r="G190" s="369">
        <v>867007</v>
      </c>
      <c r="H190" s="369">
        <v>3</v>
      </c>
      <c r="I190" s="369"/>
      <c r="J190" s="370"/>
      <c r="K190" s="371">
        <v>3</v>
      </c>
      <c r="L190" s="371"/>
      <c r="M190" s="371"/>
      <c r="N190" s="369">
        <v>3</v>
      </c>
      <c r="O190" s="372"/>
      <c r="P190" s="369">
        <v>135</v>
      </c>
      <c r="Q190" s="369" t="s">
        <v>372</v>
      </c>
      <c r="R190" s="370" t="s">
        <v>392</v>
      </c>
      <c r="S190" s="539">
        <v>400.5</v>
      </c>
      <c r="T190" s="368"/>
      <c r="U190" s="368"/>
      <c r="V190" s="368"/>
      <c r="W190" s="368"/>
      <c r="X190" s="368"/>
      <c r="Y190" s="6"/>
      <c r="Z190" s="368"/>
      <c r="AA190" s="368"/>
      <c r="AB190" s="368"/>
      <c r="AC190" s="368"/>
      <c r="AD190" s="15"/>
    </row>
    <row r="191" spans="1:30" ht="31.5" x14ac:dyDescent="0.25">
      <c r="A191" s="534"/>
      <c r="B191" s="534"/>
      <c r="C191" s="537"/>
      <c r="D191" s="534"/>
      <c r="E191" s="534"/>
      <c r="F191" s="373" t="s">
        <v>229</v>
      </c>
      <c r="G191" s="373">
        <v>864001</v>
      </c>
      <c r="H191" s="373">
        <v>3</v>
      </c>
      <c r="I191" s="373"/>
      <c r="J191" s="374"/>
      <c r="K191" s="375">
        <v>4</v>
      </c>
      <c r="L191" s="375"/>
      <c r="M191" s="375"/>
      <c r="N191" s="373">
        <v>3</v>
      </c>
      <c r="O191" s="376">
        <v>1</v>
      </c>
      <c r="P191" s="373">
        <v>180</v>
      </c>
      <c r="Q191" s="373" t="s">
        <v>373</v>
      </c>
      <c r="R191" s="374" t="s">
        <v>371</v>
      </c>
      <c r="S191" s="540"/>
      <c r="T191" s="368"/>
      <c r="U191" s="368"/>
      <c r="V191" s="368"/>
      <c r="W191" s="368"/>
      <c r="X191" s="368"/>
      <c r="Y191" s="6"/>
      <c r="Z191" s="368"/>
      <c r="AA191" s="368"/>
      <c r="AB191" s="368"/>
      <c r="AC191" s="368"/>
      <c r="AD191" s="15"/>
    </row>
    <row r="192" spans="1:30" x14ac:dyDescent="0.25">
      <c r="A192" s="534"/>
      <c r="B192" s="534"/>
      <c r="C192" s="537"/>
      <c r="D192" s="534"/>
      <c r="E192" s="534"/>
      <c r="F192" s="373" t="s">
        <v>280</v>
      </c>
      <c r="G192" s="373">
        <v>801410</v>
      </c>
      <c r="H192" s="373">
        <v>1</v>
      </c>
      <c r="I192" s="373">
        <v>30</v>
      </c>
      <c r="J192" s="374"/>
      <c r="K192" s="375">
        <v>1</v>
      </c>
      <c r="L192" s="375"/>
      <c r="M192" s="375"/>
      <c r="N192" s="373"/>
      <c r="O192" s="376">
        <v>1</v>
      </c>
      <c r="P192" s="373">
        <v>15</v>
      </c>
      <c r="Q192" s="373"/>
      <c r="R192" s="374"/>
      <c r="S192" s="540"/>
      <c r="T192" s="368"/>
      <c r="U192" s="368"/>
      <c r="V192" s="368"/>
      <c r="W192" s="368"/>
      <c r="X192" s="368"/>
      <c r="Y192" s="6"/>
      <c r="Z192" s="368"/>
      <c r="AA192" s="368"/>
      <c r="AB192" s="368"/>
      <c r="AC192" s="368"/>
      <c r="AD192" s="15"/>
    </row>
    <row r="193" spans="1:30" x14ac:dyDescent="0.25">
      <c r="A193" s="535"/>
      <c r="B193" s="535"/>
      <c r="C193" s="538"/>
      <c r="D193" s="535"/>
      <c r="E193" s="535"/>
      <c r="F193" s="542" t="s">
        <v>227</v>
      </c>
      <c r="G193" s="543"/>
      <c r="H193" s="543"/>
      <c r="I193" s="543"/>
      <c r="J193" s="543"/>
      <c r="K193" s="543"/>
      <c r="L193" s="543"/>
      <c r="M193" s="543"/>
      <c r="N193" s="543"/>
      <c r="O193" s="544"/>
      <c r="P193" s="377">
        <f>SUM(P190:P192)</f>
        <v>330</v>
      </c>
      <c r="Q193" s="377" t="s">
        <v>227</v>
      </c>
      <c r="R193" s="378">
        <v>70.5</v>
      </c>
      <c r="S193" s="541"/>
      <c r="T193" s="368"/>
      <c r="U193" s="368"/>
      <c r="V193" s="368"/>
      <c r="W193" s="368"/>
      <c r="X193" s="368"/>
      <c r="Y193" s="6"/>
      <c r="Z193" s="368"/>
      <c r="AA193" s="368"/>
      <c r="AB193" s="368"/>
      <c r="AC193" s="368"/>
      <c r="AD193" s="15"/>
    </row>
    <row r="194" spans="1:30" ht="31.5" x14ac:dyDescent="0.25">
      <c r="A194" s="533">
        <v>28</v>
      </c>
      <c r="B194" s="533">
        <v>10936</v>
      </c>
      <c r="C194" s="536" t="s">
        <v>219</v>
      </c>
      <c r="D194" s="533">
        <v>1989</v>
      </c>
      <c r="E194" s="533" t="s">
        <v>204</v>
      </c>
      <c r="F194" s="369" t="s">
        <v>235</v>
      </c>
      <c r="G194" s="369">
        <v>867007</v>
      </c>
      <c r="H194" s="369">
        <v>3</v>
      </c>
      <c r="I194" s="369"/>
      <c r="J194" s="370"/>
      <c r="K194" s="371">
        <v>2</v>
      </c>
      <c r="L194" s="371"/>
      <c r="M194" s="371"/>
      <c r="N194" s="369">
        <v>2</v>
      </c>
      <c r="O194" s="372"/>
      <c r="P194" s="369">
        <v>90</v>
      </c>
      <c r="Q194" s="369" t="s">
        <v>374</v>
      </c>
      <c r="R194" s="370" t="s">
        <v>392</v>
      </c>
      <c r="S194" s="539">
        <v>421</v>
      </c>
      <c r="T194" s="368"/>
      <c r="U194" s="368"/>
      <c r="V194" s="368"/>
      <c r="W194" s="368"/>
      <c r="X194" s="368"/>
      <c r="Y194" s="6"/>
      <c r="Z194" s="368"/>
      <c r="AA194" s="368"/>
      <c r="AB194" s="368"/>
      <c r="AC194" s="368"/>
      <c r="AD194" s="15"/>
    </row>
    <row r="195" spans="1:30" x14ac:dyDescent="0.25">
      <c r="A195" s="534"/>
      <c r="B195" s="534"/>
      <c r="C195" s="537"/>
      <c r="D195" s="534"/>
      <c r="E195" s="534"/>
      <c r="F195" s="373" t="s">
        <v>324</v>
      </c>
      <c r="G195" s="373">
        <v>841405</v>
      </c>
      <c r="H195" s="373">
        <v>3</v>
      </c>
      <c r="I195" s="373">
        <v>45</v>
      </c>
      <c r="J195" s="374"/>
      <c r="K195" s="375">
        <v>2</v>
      </c>
      <c r="L195" s="375"/>
      <c r="M195" s="375"/>
      <c r="N195" s="373"/>
      <c r="O195" s="376">
        <v>2</v>
      </c>
      <c r="P195" s="373">
        <v>90</v>
      </c>
      <c r="Q195" s="373" t="s">
        <v>364</v>
      </c>
      <c r="R195" s="374" t="s">
        <v>392</v>
      </c>
      <c r="S195" s="540"/>
      <c r="T195" s="368"/>
      <c r="U195" s="368"/>
      <c r="V195" s="368"/>
      <c r="W195" s="368"/>
      <c r="X195" s="368"/>
      <c r="Y195" s="6"/>
      <c r="Z195" s="368"/>
      <c r="AA195" s="368"/>
      <c r="AB195" s="368"/>
      <c r="AC195" s="368"/>
      <c r="AD195" s="15"/>
    </row>
    <row r="196" spans="1:30" x14ac:dyDescent="0.25">
      <c r="A196" s="534"/>
      <c r="B196" s="534"/>
      <c r="C196" s="537"/>
      <c r="D196" s="534"/>
      <c r="E196" s="534"/>
      <c r="F196" s="373" t="s">
        <v>243</v>
      </c>
      <c r="G196" s="373">
        <v>834305</v>
      </c>
      <c r="H196" s="373">
        <v>3</v>
      </c>
      <c r="I196" s="373">
        <v>45</v>
      </c>
      <c r="J196" s="374"/>
      <c r="K196" s="375">
        <v>1</v>
      </c>
      <c r="L196" s="375"/>
      <c r="M196" s="375"/>
      <c r="N196" s="373">
        <v>1</v>
      </c>
      <c r="O196" s="376"/>
      <c r="P196" s="373">
        <v>45</v>
      </c>
      <c r="Q196" s="373"/>
      <c r="R196" s="374"/>
      <c r="S196" s="540"/>
      <c r="T196" s="368"/>
      <c r="U196" s="368"/>
      <c r="V196" s="368"/>
      <c r="W196" s="368"/>
      <c r="X196" s="368"/>
      <c r="Y196" s="6"/>
      <c r="Z196" s="368"/>
      <c r="AA196" s="368"/>
      <c r="AB196" s="368"/>
      <c r="AC196" s="368"/>
      <c r="AD196" s="15"/>
    </row>
    <row r="197" spans="1:30" x14ac:dyDescent="0.25">
      <c r="A197" s="534"/>
      <c r="B197" s="534"/>
      <c r="C197" s="537"/>
      <c r="D197" s="534"/>
      <c r="E197" s="534"/>
      <c r="F197" s="373" t="s">
        <v>334</v>
      </c>
      <c r="G197" s="373">
        <v>832006</v>
      </c>
      <c r="H197" s="373">
        <v>3</v>
      </c>
      <c r="I197" s="373">
        <v>45</v>
      </c>
      <c r="J197" s="374"/>
      <c r="K197" s="375">
        <v>2</v>
      </c>
      <c r="L197" s="375"/>
      <c r="M197" s="375"/>
      <c r="N197" s="373">
        <v>2</v>
      </c>
      <c r="O197" s="376"/>
      <c r="P197" s="373">
        <v>90</v>
      </c>
      <c r="Q197" s="373"/>
      <c r="R197" s="374"/>
      <c r="S197" s="540"/>
      <c r="T197" s="368"/>
      <c r="U197" s="368"/>
      <c r="V197" s="368"/>
      <c r="W197" s="368"/>
      <c r="X197" s="368"/>
      <c r="Y197" s="6"/>
      <c r="Z197" s="368"/>
      <c r="AA197" s="368"/>
      <c r="AB197" s="368"/>
      <c r="AC197" s="368"/>
      <c r="AD197" s="15"/>
    </row>
    <row r="198" spans="1:30" x14ac:dyDescent="0.25">
      <c r="A198" s="535"/>
      <c r="B198" s="535"/>
      <c r="C198" s="538"/>
      <c r="D198" s="535"/>
      <c r="E198" s="535"/>
      <c r="F198" s="542" t="s">
        <v>227</v>
      </c>
      <c r="G198" s="543"/>
      <c r="H198" s="543"/>
      <c r="I198" s="543"/>
      <c r="J198" s="543"/>
      <c r="K198" s="543"/>
      <c r="L198" s="543"/>
      <c r="M198" s="543"/>
      <c r="N198" s="543"/>
      <c r="O198" s="544"/>
      <c r="P198" s="377">
        <f>SUM(P194:P197)</f>
        <v>315</v>
      </c>
      <c r="Q198" s="377" t="s">
        <v>227</v>
      </c>
      <c r="R198" s="378">
        <v>106</v>
      </c>
      <c r="S198" s="541"/>
      <c r="T198" s="368"/>
      <c r="U198" s="368"/>
      <c r="V198" s="368"/>
      <c r="W198" s="368"/>
      <c r="X198" s="368"/>
      <c r="Y198" s="6"/>
      <c r="Z198" s="368"/>
      <c r="AA198" s="368"/>
      <c r="AB198" s="368"/>
      <c r="AC198" s="368"/>
      <c r="AD198" s="15"/>
    </row>
    <row r="199" spans="1:30" hidden="1" x14ac:dyDescent="0.25">
      <c r="A199" s="533"/>
      <c r="B199" s="533"/>
      <c r="C199" s="536" t="s">
        <v>149</v>
      </c>
      <c r="D199" s="533"/>
      <c r="E199" s="533"/>
      <c r="F199" s="369" t="s">
        <v>139</v>
      </c>
      <c r="G199" s="369">
        <v>801314</v>
      </c>
      <c r="H199" s="369">
        <v>3</v>
      </c>
      <c r="I199" s="369">
        <v>45</v>
      </c>
      <c r="J199" s="370"/>
      <c r="K199" s="371">
        <v>1</v>
      </c>
      <c r="L199" s="371"/>
      <c r="M199" s="371"/>
      <c r="N199" s="369"/>
      <c r="O199" s="372">
        <v>1</v>
      </c>
      <c r="P199" s="369">
        <v>45</v>
      </c>
      <c r="Q199" s="369"/>
      <c r="R199" s="370"/>
      <c r="S199" s="539">
        <v>45</v>
      </c>
      <c r="T199" s="368"/>
      <c r="U199" s="368"/>
      <c r="V199" s="368"/>
      <c r="W199" s="368"/>
      <c r="X199" s="368"/>
      <c r="Y199" s="6"/>
      <c r="Z199" s="368"/>
      <c r="AA199" s="368"/>
      <c r="AB199" s="368"/>
      <c r="AC199" s="368"/>
      <c r="AD199" s="15"/>
    </row>
    <row r="200" spans="1:30" hidden="1" x14ac:dyDescent="0.25">
      <c r="A200" s="535"/>
      <c r="B200" s="535"/>
      <c r="C200" s="538"/>
      <c r="D200" s="535"/>
      <c r="E200" s="535"/>
      <c r="F200" s="542" t="s">
        <v>227</v>
      </c>
      <c r="G200" s="543"/>
      <c r="H200" s="543"/>
      <c r="I200" s="543"/>
      <c r="J200" s="543"/>
      <c r="K200" s="543"/>
      <c r="L200" s="543"/>
      <c r="M200" s="543"/>
      <c r="N200" s="543"/>
      <c r="O200" s="544"/>
      <c r="P200" s="377">
        <f>SUM(P199:P199)</f>
        <v>45</v>
      </c>
      <c r="Q200" s="377" t="s">
        <v>227</v>
      </c>
      <c r="R200" s="378">
        <v>0</v>
      </c>
      <c r="S200" s="541"/>
      <c r="T200" s="368"/>
      <c r="U200" s="368"/>
      <c r="V200" s="368"/>
      <c r="W200" s="368"/>
      <c r="X200" s="368"/>
      <c r="Y200" s="6"/>
      <c r="Z200" s="368"/>
      <c r="AA200" s="368"/>
      <c r="AB200" s="368"/>
      <c r="AC200" s="368"/>
      <c r="AD200" s="15"/>
    </row>
    <row r="201" spans="1:30" x14ac:dyDescent="0.25">
      <c r="A201" s="533">
        <v>29</v>
      </c>
      <c r="B201" s="533">
        <v>10932</v>
      </c>
      <c r="C201" s="536" t="s">
        <v>146</v>
      </c>
      <c r="D201" s="533">
        <v>1989</v>
      </c>
      <c r="E201" s="533" t="s">
        <v>202</v>
      </c>
      <c r="F201" s="369" t="s">
        <v>236</v>
      </c>
      <c r="G201" s="369">
        <v>867008</v>
      </c>
      <c r="H201" s="369">
        <v>2</v>
      </c>
      <c r="I201" s="369"/>
      <c r="J201" s="370"/>
      <c r="K201" s="371">
        <v>1</v>
      </c>
      <c r="L201" s="371"/>
      <c r="M201" s="371"/>
      <c r="N201" s="369"/>
      <c r="O201" s="372">
        <v>1</v>
      </c>
      <c r="P201" s="369">
        <v>30</v>
      </c>
      <c r="Q201" s="369"/>
      <c r="R201" s="370"/>
      <c r="S201" s="539">
        <v>270</v>
      </c>
      <c r="T201" s="368"/>
      <c r="U201" s="368"/>
      <c r="V201" s="368"/>
      <c r="W201" s="368"/>
      <c r="X201" s="368"/>
      <c r="Y201" s="6"/>
      <c r="Z201" s="368"/>
      <c r="AA201" s="368"/>
      <c r="AB201" s="368"/>
      <c r="AC201" s="368"/>
      <c r="AD201" s="15"/>
    </row>
    <row r="202" spans="1:30" x14ac:dyDescent="0.25">
      <c r="A202" s="534"/>
      <c r="B202" s="534"/>
      <c r="C202" s="537"/>
      <c r="D202" s="534"/>
      <c r="E202" s="534"/>
      <c r="F202" s="373" t="s">
        <v>235</v>
      </c>
      <c r="G202" s="373">
        <v>867007</v>
      </c>
      <c r="H202" s="373">
        <v>3</v>
      </c>
      <c r="I202" s="373"/>
      <c r="J202" s="374"/>
      <c r="K202" s="375">
        <v>1</v>
      </c>
      <c r="L202" s="375"/>
      <c r="M202" s="375"/>
      <c r="N202" s="373"/>
      <c r="O202" s="376">
        <v>1</v>
      </c>
      <c r="P202" s="373">
        <v>45</v>
      </c>
      <c r="Q202" s="373"/>
      <c r="R202" s="374"/>
      <c r="S202" s="540"/>
      <c r="T202" s="368"/>
      <c r="U202" s="368"/>
      <c r="V202" s="368"/>
      <c r="W202" s="368"/>
      <c r="X202" s="368"/>
      <c r="Y202" s="6"/>
      <c r="Z202" s="368"/>
      <c r="AA202" s="368"/>
      <c r="AB202" s="368"/>
      <c r="AC202" s="368"/>
      <c r="AD202" s="15"/>
    </row>
    <row r="203" spans="1:30" x14ac:dyDescent="0.25">
      <c r="A203" s="534"/>
      <c r="B203" s="534"/>
      <c r="C203" s="537"/>
      <c r="D203" s="534"/>
      <c r="E203" s="534"/>
      <c r="F203" s="373" t="s">
        <v>229</v>
      </c>
      <c r="G203" s="373">
        <v>864001</v>
      </c>
      <c r="H203" s="373">
        <v>3</v>
      </c>
      <c r="I203" s="373"/>
      <c r="J203" s="374"/>
      <c r="K203" s="375">
        <v>2</v>
      </c>
      <c r="L203" s="375"/>
      <c r="M203" s="375"/>
      <c r="N203" s="373"/>
      <c r="O203" s="376">
        <v>2</v>
      </c>
      <c r="P203" s="373">
        <v>90</v>
      </c>
      <c r="Q203" s="373"/>
      <c r="R203" s="374"/>
      <c r="S203" s="540"/>
      <c r="T203" s="368"/>
      <c r="U203" s="368"/>
      <c r="V203" s="368"/>
      <c r="W203" s="368"/>
      <c r="X203" s="368"/>
      <c r="Y203" s="6"/>
      <c r="Z203" s="368"/>
      <c r="AA203" s="368"/>
      <c r="AB203" s="368"/>
      <c r="AC203" s="368"/>
      <c r="AD203" s="15"/>
    </row>
    <row r="204" spans="1:30" x14ac:dyDescent="0.25">
      <c r="A204" s="534"/>
      <c r="B204" s="534"/>
      <c r="C204" s="537"/>
      <c r="D204" s="534"/>
      <c r="E204" s="534"/>
      <c r="F204" s="373" t="s">
        <v>324</v>
      </c>
      <c r="G204" s="373">
        <v>841405</v>
      </c>
      <c r="H204" s="373">
        <v>3</v>
      </c>
      <c r="I204" s="373">
        <v>45</v>
      </c>
      <c r="J204" s="374"/>
      <c r="K204" s="375">
        <v>2</v>
      </c>
      <c r="L204" s="375"/>
      <c r="M204" s="375"/>
      <c r="N204" s="373"/>
      <c r="O204" s="376">
        <v>2</v>
      </c>
      <c r="P204" s="373">
        <v>90</v>
      </c>
      <c r="Q204" s="373"/>
      <c r="R204" s="374"/>
      <c r="S204" s="540"/>
      <c r="T204" s="368"/>
      <c r="U204" s="368"/>
      <c r="V204" s="368"/>
      <c r="W204" s="368"/>
      <c r="X204" s="368"/>
      <c r="Y204" s="6"/>
      <c r="Z204" s="368"/>
      <c r="AA204" s="368"/>
      <c r="AB204" s="368"/>
      <c r="AC204" s="368"/>
      <c r="AD204" s="15"/>
    </row>
    <row r="205" spans="1:30" x14ac:dyDescent="0.25">
      <c r="A205" s="534"/>
      <c r="B205" s="534"/>
      <c r="C205" s="537"/>
      <c r="D205" s="534"/>
      <c r="E205" s="534"/>
      <c r="F205" s="373" t="s">
        <v>276</v>
      </c>
      <c r="G205" s="373">
        <v>801412</v>
      </c>
      <c r="H205" s="373">
        <v>1</v>
      </c>
      <c r="I205" s="373">
        <v>30</v>
      </c>
      <c r="J205" s="374"/>
      <c r="K205" s="375">
        <v>1</v>
      </c>
      <c r="L205" s="375"/>
      <c r="M205" s="375"/>
      <c r="N205" s="373"/>
      <c r="O205" s="376">
        <v>1</v>
      </c>
      <c r="P205" s="373">
        <v>15</v>
      </c>
      <c r="Q205" s="373"/>
      <c r="R205" s="374"/>
      <c r="S205" s="540"/>
      <c r="T205" s="368"/>
      <c r="U205" s="368"/>
      <c r="V205" s="368"/>
      <c r="W205" s="368"/>
      <c r="X205" s="368"/>
      <c r="Y205" s="6"/>
      <c r="Z205" s="368"/>
      <c r="AA205" s="368"/>
      <c r="AB205" s="368"/>
      <c r="AC205" s="368"/>
      <c r="AD205" s="15"/>
    </row>
    <row r="206" spans="1:30" x14ac:dyDescent="0.25">
      <c r="A206" s="535"/>
      <c r="B206" s="535"/>
      <c r="C206" s="538"/>
      <c r="D206" s="535"/>
      <c r="E206" s="535"/>
      <c r="F206" s="542" t="s">
        <v>227</v>
      </c>
      <c r="G206" s="543"/>
      <c r="H206" s="543"/>
      <c r="I206" s="543"/>
      <c r="J206" s="543"/>
      <c r="K206" s="543"/>
      <c r="L206" s="543"/>
      <c r="M206" s="543"/>
      <c r="N206" s="543"/>
      <c r="O206" s="544"/>
      <c r="P206" s="377">
        <f>SUM(P201:P205)</f>
        <v>270</v>
      </c>
      <c r="Q206" s="377" t="s">
        <v>227</v>
      </c>
      <c r="R206" s="378">
        <v>0</v>
      </c>
      <c r="S206" s="541"/>
      <c r="T206" s="368"/>
      <c r="U206" s="368"/>
      <c r="V206" s="368"/>
      <c r="W206" s="368"/>
      <c r="X206" s="368"/>
      <c r="Y206" s="6"/>
      <c r="Z206" s="368"/>
      <c r="AA206" s="368"/>
      <c r="AB206" s="368"/>
      <c r="AC206" s="368"/>
      <c r="AD206" s="15"/>
    </row>
    <row r="207" spans="1:30" hidden="1" x14ac:dyDescent="0.25">
      <c r="A207" s="533"/>
      <c r="B207" s="533"/>
      <c r="C207" s="536" t="s">
        <v>194</v>
      </c>
      <c r="D207" s="533"/>
      <c r="E207" s="533"/>
      <c r="F207" s="369" t="s">
        <v>124</v>
      </c>
      <c r="G207" s="369">
        <v>801046</v>
      </c>
      <c r="H207" s="369">
        <v>4</v>
      </c>
      <c r="I207" s="369">
        <v>60</v>
      </c>
      <c r="J207" s="370"/>
      <c r="K207" s="371">
        <v>3</v>
      </c>
      <c r="L207" s="371"/>
      <c r="M207" s="371"/>
      <c r="N207" s="369">
        <v>1</v>
      </c>
      <c r="O207" s="372">
        <v>2</v>
      </c>
      <c r="P207" s="369">
        <v>180</v>
      </c>
      <c r="Q207" s="369"/>
      <c r="R207" s="370"/>
      <c r="S207" s="539">
        <v>180</v>
      </c>
      <c r="T207" s="368"/>
      <c r="U207" s="368"/>
      <c r="V207" s="368"/>
      <c r="W207" s="368"/>
      <c r="X207" s="368"/>
      <c r="Y207" s="6"/>
      <c r="Z207" s="368"/>
      <c r="AA207" s="368"/>
      <c r="AB207" s="368"/>
      <c r="AC207" s="368"/>
      <c r="AD207" s="15"/>
    </row>
    <row r="208" spans="1:30" hidden="1" x14ac:dyDescent="0.25">
      <c r="A208" s="535"/>
      <c r="B208" s="535"/>
      <c r="C208" s="538"/>
      <c r="D208" s="535"/>
      <c r="E208" s="535"/>
      <c r="F208" s="542" t="s">
        <v>227</v>
      </c>
      <c r="G208" s="543"/>
      <c r="H208" s="543"/>
      <c r="I208" s="543"/>
      <c r="J208" s="543"/>
      <c r="K208" s="543"/>
      <c r="L208" s="543"/>
      <c r="M208" s="543"/>
      <c r="N208" s="543"/>
      <c r="O208" s="544"/>
      <c r="P208" s="377">
        <f>SUM(P207:P207)</f>
        <v>180</v>
      </c>
      <c r="Q208" s="377" t="s">
        <v>227</v>
      </c>
      <c r="R208" s="378">
        <v>0</v>
      </c>
      <c r="S208" s="541"/>
      <c r="T208" s="368"/>
      <c r="U208" s="368"/>
      <c r="V208" s="368"/>
      <c r="W208" s="368"/>
      <c r="X208" s="368"/>
      <c r="Y208" s="6"/>
      <c r="Z208" s="368"/>
      <c r="AA208" s="368"/>
      <c r="AB208" s="368"/>
      <c r="AC208" s="368"/>
      <c r="AD208" s="15"/>
    </row>
    <row r="209" spans="1:30" ht="31.5" x14ac:dyDescent="0.25">
      <c r="A209" s="533">
        <v>30</v>
      </c>
      <c r="B209" s="533">
        <v>10986</v>
      </c>
      <c r="C209" s="536" t="s">
        <v>180</v>
      </c>
      <c r="D209" s="533">
        <v>1981</v>
      </c>
      <c r="E209" s="533" t="s">
        <v>206</v>
      </c>
      <c r="F209" s="369" t="s">
        <v>236</v>
      </c>
      <c r="G209" s="369">
        <v>867008</v>
      </c>
      <c r="H209" s="369">
        <v>2</v>
      </c>
      <c r="I209" s="369"/>
      <c r="J209" s="370"/>
      <c r="K209" s="371">
        <v>4</v>
      </c>
      <c r="L209" s="371"/>
      <c r="M209" s="371"/>
      <c r="N209" s="369">
        <v>2</v>
      </c>
      <c r="O209" s="372">
        <v>2</v>
      </c>
      <c r="P209" s="369">
        <v>120</v>
      </c>
      <c r="Q209" s="369" t="s">
        <v>262</v>
      </c>
      <c r="R209" s="370" t="s">
        <v>392</v>
      </c>
      <c r="S209" s="539">
        <v>443</v>
      </c>
      <c r="T209" s="368"/>
      <c r="U209" s="368"/>
      <c r="V209" s="368"/>
      <c r="W209" s="368"/>
      <c r="X209" s="368"/>
      <c r="Y209" s="6"/>
      <c r="Z209" s="368"/>
      <c r="AA209" s="368"/>
      <c r="AB209" s="368"/>
      <c r="AC209" s="368"/>
      <c r="AD209" s="15"/>
    </row>
    <row r="210" spans="1:30" x14ac:dyDescent="0.25">
      <c r="A210" s="534"/>
      <c r="B210" s="534"/>
      <c r="C210" s="537"/>
      <c r="D210" s="534"/>
      <c r="E210" s="534"/>
      <c r="F210" s="373" t="s">
        <v>132</v>
      </c>
      <c r="G210" s="373">
        <v>864007</v>
      </c>
      <c r="H210" s="373">
        <v>3</v>
      </c>
      <c r="I210" s="373"/>
      <c r="J210" s="374"/>
      <c r="K210" s="375">
        <v>4</v>
      </c>
      <c r="L210" s="375"/>
      <c r="M210" s="375"/>
      <c r="N210" s="373">
        <v>4</v>
      </c>
      <c r="O210" s="376"/>
      <c r="P210" s="373">
        <v>180</v>
      </c>
      <c r="Q210" s="373"/>
      <c r="R210" s="374"/>
      <c r="S210" s="540"/>
      <c r="T210" s="368"/>
      <c r="U210" s="368"/>
      <c r="V210" s="368"/>
      <c r="W210" s="368"/>
      <c r="X210" s="368"/>
      <c r="Y210" s="6"/>
      <c r="Z210" s="368"/>
      <c r="AA210" s="368"/>
      <c r="AB210" s="368"/>
      <c r="AC210" s="368"/>
      <c r="AD210" s="15"/>
    </row>
    <row r="211" spans="1:30" ht="31.5" x14ac:dyDescent="0.25">
      <c r="A211" s="534"/>
      <c r="B211" s="534"/>
      <c r="C211" s="537"/>
      <c r="D211" s="534"/>
      <c r="E211" s="534"/>
      <c r="F211" s="373" t="s">
        <v>341</v>
      </c>
      <c r="G211" s="373">
        <v>821403</v>
      </c>
      <c r="H211" s="373">
        <v>2</v>
      </c>
      <c r="I211" s="373">
        <v>30</v>
      </c>
      <c r="J211" s="374"/>
      <c r="K211" s="375"/>
      <c r="L211" s="375"/>
      <c r="M211" s="375"/>
      <c r="N211" s="373"/>
      <c r="O211" s="376"/>
      <c r="P211" s="373">
        <v>30</v>
      </c>
      <c r="Q211" s="373"/>
      <c r="R211" s="374"/>
      <c r="S211" s="540"/>
      <c r="T211" s="368"/>
      <c r="U211" s="368"/>
      <c r="V211" s="368"/>
      <c r="W211" s="368"/>
      <c r="X211" s="368"/>
      <c r="Y211" s="6"/>
      <c r="Z211" s="368"/>
      <c r="AA211" s="368"/>
      <c r="AB211" s="368"/>
      <c r="AC211" s="368"/>
      <c r="AD211" s="15"/>
    </row>
    <row r="212" spans="1:30" x14ac:dyDescent="0.25">
      <c r="A212" s="534"/>
      <c r="B212" s="534"/>
      <c r="C212" s="537"/>
      <c r="D212" s="534"/>
      <c r="E212" s="534"/>
      <c r="F212" s="373" t="s">
        <v>279</v>
      </c>
      <c r="G212" s="373">
        <v>801022</v>
      </c>
      <c r="H212" s="373">
        <v>4</v>
      </c>
      <c r="I212" s="373">
        <v>60</v>
      </c>
      <c r="J212" s="374"/>
      <c r="K212" s="375">
        <v>1</v>
      </c>
      <c r="L212" s="375"/>
      <c r="M212" s="375"/>
      <c r="N212" s="373"/>
      <c r="O212" s="376">
        <v>1</v>
      </c>
      <c r="P212" s="373">
        <v>60</v>
      </c>
      <c r="Q212" s="373"/>
      <c r="R212" s="374"/>
      <c r="S212" s="540"/>
      <c r="T212" s="368"/>
      <c r="U212" s="368"/>
      <c r="V212" s="368"/>
      <c r="W212" s="368"/>
      <c r="X212" s="368"/>
      <c r="Y212" s="6"/>
      <c r="Z212" s="368"/>
      <c r="AA212" s="368"/>
      <c r="AB212" s="368"/>
      <c r="AC212" s="368"/>
      <c r="AD212" s="15"/>
    </row>
    <row r="213" spans="1:30" x14ac:dyDescent="0.25">
      <c r="A213" s="535"/>
      <c r="B213" s="535"/>
      <c r="C213" s="538"/>
      <c r="D213" s="535"/>
      <c r="E213" s="535"/>
      <c r="F213" s="542" t="s">
        <v>227</v>
      </c>
      <c r="G213" s="543"/>
      <c r="H213" s="543"/>
      <c r="I213" s="543"/>
      <c r="J213" s="543"/>
      <c r="K213" s="543"/>
      <c r="L213" s="543"/>
      <c r="M213" s="543"/>
      <c r="N213" s="543"/>
      <c r="O213" s="544"/>
      <c r="P213" s="377">
        <f>SUM(P209:P212)</f>
        <v>390</v>
      </c>
      <c r="Q213" s="377" t="s">
        <v>227</v>
      </c>
      <c r="R213" s="378">
        <v>53</v>
      </c>
      <c r="S213" s="541"/>
      <c r="T213" s="368"/>
      <c r="U213" s="368"/>
      <c r="V213" s="368"/>
      <c r="W213" s="368"/>
      <c r="X213" s="368"/>
      <c r="Y213" s="6"/>
      <c r="Z213" s="368"/>
      <c r="AA213" s="368"/>
      <c r="AB213" s="368"/>
      <c r="AC213" s="368"/>
      <c r="AD213" s="15"/>
    </row>
    <row r="214" spans="1:30" x14ac:dyDescent="0.25">
      <c r="A214" s="533">
        <v>31</v>
      </c>
      <c r="B214" s="533">
        <v>10131</v>
      </c>
      <c r="C214" s="536" t="s">
        <v>216</v>
      </c>
      <c r="D214" s="533">
        <v>1975</v>
      </c>
      <c r="E214" s="533" t="s">
        <v>202</v>
      </c>
      <c r="F214" s="369" t="s">
        <v>235</v>
      </c>
      <c r="G214" s="369">
        <v>867007</v>
      </c>
      <c r="H214" s="369">
        <v>3</v>
      </c>
      <c r="I214" s="369"/>
      <c r="J214" s="370"/>
      <c r="K214" s="371">
        <v>4</v>
      </c>
      <c r="L214" s="371"/>
      <c r="M214" s="371"/>
      <c r="N214" s="369">
        <v>4</v>
      </c>
      <c r="O214" s="372"/>
      <c r="P214" s="369">
        <v>180</v>
      </c>
      <c r="Q214" s="369"/>
      <c r="R214" s="370"/>
      <c r="S214" s="539">
        <v>405</v>
      </c>
      <c r="T214" s="368"/>
      <c r="U214" s="368"/>
      <c r="V214" s="368"/>
      <c r="W214" s="368"/>
      <c r="X214" s="368"/>
      <c r="Y214" s="6"/>
      <c r="Z214" s="368"/>
      <c r="AA214" s="368"/>
      <c r="AB214" s="368"/>
      <c r="AC214" s="368"/>
      <c r="AD214" s="15"/>
    </row>
    <row r="215" spans="1:30" x14ac:dyDescent="0.25">
      <c r="A215" s="534"/>
      <c r="B215" s="534"/>
      <c r="C215" s="537"/>
      <c r="D215" s="534"/>
      <c r="E215" s="534"/>
      <c r="F215" s="373" t="s">
        <v>229</v>
      </c>
      <c r="G215" s="373">
        <v>864001</v>
      </c>
      <c r="H215" s="373">
        <v>3</v>
      </c>
      <c r="I215" s="373"/>
      <c r="J215" s="374"/>
      <c r="K215" s="375">
        <v>4</v>
      </c>
      <c r="L215" s="375"/>
      <c r="M215" s="375"/>
      <c r="N215" s="373">
        <v>2</v>
      </c>
      <c r="O215" s="376">
        <v>2</v>
      </c>
      <c r="P215" s="373">
        <v>180</v>
      </c>
      <c r="Q215" s="373"/>
      <c r="R215" s="374"/>
      <c r="S215" s="540"/>
      <c r="T215" s="368"/>
      <c r="U215" s="368"/>
      <c r="V215" s="368"/>
      <c r="W215" s="368"/>
      <c r="X215" s="368"/>
      <c r="Y215" s="6"/>
      <c r="Z215" s="368"/>
      <c r="AA215" s="368"/>
      <c r="AB215" s="368"/>
      <c r="AC215" s="368"/>
      <c r="AD215" s="15"/>
    </row>
    <row r="216" spans="1:30" x14ac:dyDescent="0.25">
      <c r="A216" s="534"/>
      <c r="B216" s="534"/>
      <c r="C216" s="537"/>
      <c r="D216" s="534"/>
      <c r="E216" s="534"/>
      <c r="F216" s="373" t="s">
        <v>233</v>
      </c>
      <c r="G216" s="373">
        <v>841401</v>
      </c>
      <c r="H216" s="373">
        <v>3</v>
      </c>
      <c r="I216" s="373">
        <v>45</v>
      </c>
      <c r="J216" s="374"/>
      <c r="K216" s="375">
        <v>1</v>
      </c>
      <c r="L216" s="375"/>
      <c r="M216" s="375"/>
      <c r="N216" s="373">
        <v>1</v>
      </c>
      <c r="O216" s="376"/>
      <c r="P216" s="373">
        <v>45</v>
      </c>
      <c r="Q216" s="373"/>
      <c r="R216" s="374"/>
      <c r="S216" s="540"/>
      <c r="T216" s="368"/>
      <c r="U216" s="368"/>
      <c r="V216" s="368"/>
      <c r="W216" s="368"/>
      <c r="X216" s="368"/>
      <c r="Y216" s="6"/>
      <c r="Z216" s="368"/>
      <c r="AA216" s="368"/>
      <c r="AB216" s="368"/>
      <c r="AC216" s="368"/>
      <c r="AD216" s="15"/>
    </row>
    <row r="217" spans="1:30" x14ac:dyDescent="0.25">
      <c r="A217" s="535"/>
      <c r="B217" s="535"/>
      <c r="C217" s="538"/>
      <c r="D217" s="535"/>
      <c r="E217" s="535"/>
      <c r="F217" s="542" t="s">
        <v>227</v>
      </c>
      <c r="G217" s="543"/>
      <c r="H217" s="543"/>
      <c r="I217" s="543"/>
      <c r="J217" s="543"/>
      <c r="K217" s="543"/>
      <c r="L217" s="543"/>
      <c r="M217" s="543"/>
      <c r="N217" s="543"/>
      <c r="O217" s="544"/>
      <c r="P217" s="377">
        <f>SUM(P214:P216)</f>
        <v>405</v>
      </c>
      <c r="Q217" s="377" t="s">
        <v>227</v>
      </c>
      <c r="R217" s="378">
        <v>0</v>
      </c>
      <c r="S217" s="541"/>
      <c r="T217" s="368"/>
      <c r="U217" s="368"/>
      <c r="V217" s="368"/>
      <c r="W217" s="368"/>
      <c r="X217" s="368"/>
      <c r="Y217" s="6"/>
      <c r="Z217" s="368"/>
      <c r="AA217" s="368"/>
      <c r="AB217" s="368"/>
      <c r="AC217" s="368"/>
      <c r="AD217" s="15"/>
    </row>
    <row r="218" spans="1:30" x14ac:dyDescent="0.25">
      <c r="A218" s="275"/>
      <c r="B218" s="275"/>
      <c r="C218" s="276"/>
      <c r="D218" s="275"/>
      <c r="E218" s="275"/>
      <c r="F218" s="275"/>
      <c r="G218" s="275"/>
      <c r="H218" s="275"/>
      <c r="I218" s="275"/>
      <c r="J218" s="277"/>
      <c r="K218" s="278"/>
      <c r="L218" s="278"/>
      <c r="M218" s="278"/>
      <c r="N218" s="275"/>
      <c r="O218" s="279"/>
      <c r="P218" s="275"/>
      <c r="Q218" s="275"/>
      <c r="R218" s="277"/>
      <c r="S218" s="275"/>
      <c r="T218" s="290"/>
      <c r="U218" s="290"/>
      <c r="V218" s="290"/>
      <c r="W218" s="290"/>
      <c r="X218" s="290"/>
      <c r="Y218" s="6"/>
      <c r="Z218" s="290"/>
      <c r="AA218" s="290"/>
      <c r="AB218" s="290"/>
      <c r="AC218" s="290"/>
      <c r="AD218" s="15"/>
    </row>
    <row r="219" spans="1:30" x14ac:dyDescent="0.25">
      <c r="A219" s="275"/>
      <c r="B219" s="275"/>
      <c r="C219" s="276"/>
      <c r="D219" s="275"/>
      <c r="E219" s="275"/>
      <c r="F219" s="275"/>
      <c r="G219" s="275"/>
      <c r="H219" s="275"/>
      <c r="I219" s="275"/>
      <c r="J219" s="277"/>
      <c r="K219" s="278"/>
      <c r="L219" s="278"/>
      <c r="M219" s="278"/>
      <c r="N219" s="275"/>
      <c r="O219" s="279"/>
      <c r="P219" s="275"/>
      <c r="Q219" s="275"/>
      <c r="R219" s="277"/>
      <c r="S219" s="275"/>
      <c r="T219" s="255"/>
      <c r="U219" s="255"/>
      <c r="V219" s="255"/>
      <c r="W219" s="255"/>
      <c r="X219" s="255"/>
      <c r="Y219" s="6"/>
      <c r="Z219" s="255"/>
      <c r="AA219" s="255"/>
      <c r="AB219" s="255"/>
      <c r="AC219" s="255"/>
      <c r="AD219" s="15"/>
    </row>
    <row r="220" spans="1:30" x14ac:dyDescent="0.25">
      <c r="A220" s="553">
        <v>32</v>
      </c>
      <c r="B220" s="553">
        <v>10902</v>
      </c>
      <c r="C220" s="555" t="s">
        <v>207</v>
      </c>
      <c r="D220" s="553">
        <v>1979</v>
      </c>
      <c r="E220" s="553" t="s">
        <v>206</v>
      </c>
      <c r="F220" s="545" t="s">
        <v>265</v>
      </c>
      <c r="G220" s="546"/>
      <c r="H220" s="546"/>
      <c r="I220" s="546"/>
      <c r="J220" s="546"/>
      <c r="K220" s="546"/>
      <c r="L220" s="546"/>
      <c r="M220" s="546"/>
      <c r="N220" s="546"/>
      <c r="O220" s="547"/>
      <c r="P220" s="272">
        <v>0</v>
      </c>
      <c r="Q220" s="557"/>
      <c r="R220" s="553">
        <v>0</v>
      </c>
      <c r="S220" s="548">
        <v>0</v>
      </c>
      <c r="T220" s="15"/>
      <c r="U220" s="15"/>
      <c r="V220" s="15"/>
      <c r="W220" s="15"/>
      <c r="X220" s="15"/>
      <c r="Y220" s="15"/>
      <c r="Z220" s="15"/>
      <c r="AA220" s="15"/>
    </row>
    <row r="221" spans="1:30" x14ac:dyDescent="0.25">
      <c r="A221" s="554"/>
      <c r="B221" s="554"/>
      <c r="C221" s="556"/>
      <c r="D221" s="554"/>
      <c r="E221" s="554"/>
      <c r="F221" s="550" t="s">
        <v>227</v>
      </c>
      <c r="G221" s="551"/>
      <c r="H221" s="551"/>
      <c r="I221" s="551"/>
      <c r="J221" s="551"/>
      <c r="K221" s="551"/>
      <c r="L221" s="551"/>
      <c r="M221" s="551"/>
      <c r="N221" s="551"/>
      <c r="O221" s="552"/>
      <c r="P221" s="273">
        <v>0</v>
      </c>
      <c r="Q221" s="558"/>
      <c r="R221" s="554"/>
      <c r="S221" s="549"/>
      <c r="T221" s="15"/>
      <c r="U221" s="15"/>
      <c r="V221" s="15"/>
      <c r="W221" s="15"/>
      <c r="X221" s="15"/>
      <c r="Y221" s="15"/>
      <c r="Z221" s="15"/>
      <c r="AA221" s="15"/>
    </row>
    <row r="222" spans="1:30" x14ac:dyDescent="0.25">
      <c r="A222" s="553">
        <v>34</v>
      </c>
      <c r="B222" s="553">
        <v>11313</v>
      </c>
      <c r="C222" s="555" t="s">
        <v>220</v>
      </c>
      <c r="D222" s="553">
        <v>1982</v>
      </c>
      <c r="E222" s="553" t="s">
        <v>221</v>
      </c>
      <c r="F222" s="274"/>
      <c r="G222" s="274"/>
      <c r="H222" s="272"/>
      <c r="I222" s="272"/>
      <c r="J222" s="274"/>
      <c r="K222" s="272"/>
      <c r="L222" s="274"/>
      <c r="M222" s="274"/>
      <c r="N222" s="272"/>
      <c r="O222" s="272"/>
      <c r="P222" s="272">
        <v>0</v>
      </c>
      <c r="Q222" s="557" t="s">
        <v>222</v>
      </c>
      <c r="R222" s="553">
        <v>53</v>
      </c>
      <c r="S222" s="548">
        <v>53</v>
      </c>
      <c r="T222" s="15"/>
      <c r="U222" s="15"/>
      <c r="V222" s="15"/>
      <c r="W222" s="15"/>
      <c r="X222" s="15"/>
      <c r="Y222" s="15"/>
      <c r="Z222" s="15"/>
      <c r="AA222" s="15"/>
    </row>
    <row r="223" spans="1:30" x14ac:dyDescent="0.25">
      <c r="A223" s="554"/>
      <c r="B223" s="554"/>
      <c r="C223" s="556"/>
      <c r="D223" s="554"/>
      <c r="E223" s="554"/>
      <c r="F223" s="550" t="s">
        <v>227</v>
      </c>
      <c r="G223" s="551"/>
      <c r="H223" s="551"/>
      <c r="I223" s="551"/>
      <c r="J223" s="551"/>
      <c r="K223" s="551"/>
      <c r="L223" s="551"/>
      <c r="M223" s="551"/>
      <c r="N223" s="551"/>
      <c r="O223" s="552"/>
      <c r="P223" s="273">
        <v>0</v>
      </c>
      <c r="Q223" s="558"/>
      <c r="R223" s="554"/>
      <c r="S223" s="549"/>
      <c r="T223" s="15"/>
      <c r="U223" s="15"/>
      <c r="V223" s="15"/>
      <c r="W223" s="15"/>
      <c r="X223" s="15"/>
      <c r="Y223" s="15"/>
      <c r="Z223" s="15"/>
      <c r="AA223" s="15"/>
    </row>
    <row r="224" spans="1:30" x14ac:dyDescent="0.25">
      <c r="A224" s="553">
        <v>35</v>
      </c>
      <c r="B224" s="553">
        <v>11419</v>
      </c>
      <c r="C224" s="555" t="s">
        <v>317</v>
      </c>
      <c r="D224" s="553">
        <v>1990</v>
      </c>
      <c r="E224" s="557" t="s">
        <v>312</v>
      </c>
      <c r="F224" s="274"/>
      <c r="G224" s="274"/>
      <c r="H224" s="272"/>
      <c r="I224" s="272"/>
      <c r="J224" s="274"/>
      <c r="K224" s="272"/>
      <c r="L224" s="274"/>
      <c r="M224" s="274"/>
      <c r="N224" s="272"/>
      <c r="O224" s="272"/>
      <c r="P224" s="272">
        <v>0</v>
      </c>
      <c r="Q224" s="272"/>
      <c r="R224" s="272"/>
      <c r="S224" s="548">
        <v>0</v>
      </c>
    </row>
    <row r="225" spans="1:30" x14ac:dyDescent="0.25">
      <c r="A225" s="554"/>
      <c r="B225" s="554"/>
      <c r="C225" s="556"/>
      <c r="D225" s="554"/>
      <c r="E225" s="558"/>
      <c r="F225" s="550" t="s">
        <v>227</v>
      </c>
      <c r="G225" s="551"/>
      <c r="H225" s="551"/>
      <c r="I225" s="551"/>
      <c r="J225" s="551"/>
      <c r="K225" s="551"/>
      <c r="L225" s="551"/>
      <c r="M225" s="551"/>
      <c r="N225" s="551"/>
      <c r="O225" s="552"/>
      <c r="P225" s="273">
        <v>0</v>
      </c>
      <c r="Q225" s="273"/>
      <c r="R225" s="273"/>
      <c r="S225" s="549"/>
    </row>
    <row r="226" spans="1:30" x14ac:dyDescent="0.25">
      <c r="A226" s="553">
        <v>36</v>
      </c>
      <c r="B226" s="553">
        <v>11482</v>
      </c>
      <c r="C226" s="555" t="s">
        <v>311</v>
      </c>
      <c r="D226" s="553">
        <v>1994</v>
      </c>
      <c r="E226" s="557" t="s">
        <v>326</v>
      </c>
      <c r="F226" s="274"/>
      <c r="G226" s="274"/>
      <c r="H226" s="272"/>
      <c r="I226" s="272"/>
      <c r="J226" s="274"/>
      <c r="K226" s="272"/>
      <c r="L226" s="274"/>
      <c r="M226" s="274"/>
      <c r="N226" s="272"/>
      <c r="O226" s="272"/>
      <c r="P226" s="272">
        <v>0</v>
      </c>
      <c r="Q226" s="272"/>
      <c r="R226" s="272"/>
      <c r="S226" s="548">
        <v>0</v>
      </c>
    </row>
    <row r="227" spans="1:30" x14ac:dyDescent="0.25">
      <c r="A227" s="554"/>
      <c r="B227" s="554"/>
      <c r="C227" s="556"/>
      <c r="D227" s="554"/>
      <c r="E227" s="558"/>
      <c r="F227" s="550" t="s">
        <v>227</v>
      </c>
      <c r="G227" s="551"/>
      <c r="H227" s="551"/>
      <c r="I227" s="551"/>
      <c r="J227" s="551"/>
      <c r="K227" s="551"/>
      <c r="L227" s="551"/>
      <c r="M227" s="551"/>
      <c r="N227" s="551"/>
      <c r="O227" s="552"/>
      <c r="P227" s="273">
        <v>0</v>
      </c>
      <c r="Q227" s="273"/>
      <c r="R227" s="273"/>
      <c r="S227" s="549"/>
    </row>
    <row r="228" spans="1:30" x14ac:dyDescent="0.25">
      <c r="A228" s="107"/>
      <c r="B228" s="107"/>
      <c r="C228" s="197"/>
      <c r="D228" s="107"/>
      <c r="E228" s="107"/>
      <c r="F228" s="190"/>
      <c r="G228" s="15"/>
      <c r="H228" s="107"/>
      <c r="I228" s="107"/>
      <c r="J228" s="15"/>
      <c r="K228" s="107"/>
      <c r="L228" s="15"/>
      <c r="M228" s="15"/>
      <c r="N228" s="107"/>
      <c r="O228" s="107"/>
      <c r="P228" s="107"/>
      <c r="Q228" s="198"/>
      <c r="R228" s="107"/>
      <c r="S228" s="107"/>
      <c r="T228" s="15"/>
      <c r="U228" s="15"/>
      <c r="V228" s="15"/>
      <c r="W228" s="15"/>
      <c r="X228" s="15"/>
      <c r="Y228" s="15"/>
      <c r="Z228" s="15"/>
      <c r="AA228" s="15"/>
      <c r="AB228" s="15"/>
      <c r="AC228" s="15"/>
      <c r="AD228" s="15"/>
    </row>
    <row r="229" spans="1:30" x14ac:dyDescent="0.25">
      <c r="A229" s="107"/>
      <c r="B229" s="107"/>
      <c r="C229" s="197"/>
      <c r="D229" s="107"/>
      <c r="E229" s="107"/>
      <c r="F229" s="190"/>
      <c r="G229" s="15"/>
      <c r="H229" s="107"/>
      <c r="I229" s="107"/>
      <c r="J229" s="15"/>
      <c r="K229" s="107"/>
      <c r="L229" s="15"/>
      <c r="M229" s="15"/>
      <c r="N229" s="107"/>
      <c r="O229" s="107"/>
      <c r="P229" s="107"/>
      <c r="Q229" s="198"/>
      <c r="R229" s="107"/>
      <c r="S229" s="107"/>
      <c r="T229" s="15"/>
      <c r="U229" s="15"/>
      <c r="V229" s="15"/>
      <c r="W229" s="15"/>
      <c r="X229" s="15"/>
      <c r="Y229" s="15"/>
      <c r="Z229" s="15"/>
      <c r="AA229" s="15"/>
      <c r="AB229" s="15"/>
      <c r="AC229" s="15"/>
      <c r="AD229" s="15"/>
    </row>
    <row r="230" spans="1:30" x14ac:dyDescent="0.25">
      <c r="A230" s="101"/>
      <c r="B230" s="101"/>
      <c r="C230" s="186"/>
      <c r="D230" s="107"/>
      <c r="E230" s="107"/>
      <c r="F230" s="190"/>
      <c r="G230" s="15"/>
      <c r="H230" s="107"/>
      <c r="I230" s="107"/>
      <c r="J230" s="15"/>
      <c r="K230" s="107"/>
      <c r="L230" s="15"/>
      <c r="M230" s="15"/>
      <c r="N230" s="107"/>
      <c r="O230" s="107"/>
      <c r="P230" s="107"/>
      <c r="Q230" s="100"/>
      <c r="R230" s="107"/>
      <c r="S230" s="107"/>
      <c r="T230" s="15"/>
      <c r="U230" s="15"/>
      <c r="V230" s="15"/>
      <c r="W230" s="15"/>
      <c r="X230" s="15"/>
      <c r="Y230" s="15"/>
      <c r="Z230" s="15"/>
      <c r="AA230" s="15"/>
      <c r="AB230" s="15"/>
      <c r="AC230" s="15"/>
      <c r="AD230" s="15"/>
    </row>
    <row r="231" spans="1:30" x14ac:dyDescent="0.25">
      <c r="A231" s="101"/>
      <c r="B231" s="21" t="s">
        <v>17</v>
      </c>
      <c r="C231" s="186"/>
      <c r="D231" s="107"/>
      <c r="E231" s="107"/>
      <c r="F231" s="190"/>
      <c r="G231" s="15"/>
      <c r="H231" s="107"/>
      <c r="I231" s="107"/>
      <c r="J231" s="15"/>
      <c r="K231" s="107"/>
      <c r="L231" s="15"/>
      <c r="M231" s="15"/>
      <c r="N231" s="107"/>
      <c r="O231" s="107"/>
      <c r="P231" s="107"/>
      <c r="Q231" s="100"/>
      <c r="R231" s="107"/>
      <c r="T231" s="15"/>
      <c r="U231" s="15"/>
      <c r="V231" s="15"/>
      <c r="W231" s="15"/>
      <c r="X231" s="15"/>
      <c r="Y231" s="15"/>
      <c r="Z231" s="15"/>
      <c r="AA231" s="15"/>
      <c r="AB231" s="15"/>
      <c r="AC231" s="15"/>
      <c r="AD231" s="15"/>
    </row>
    <row r="232" spans="1:30" x14ac:dyDescent="0.25">
      <c r="A232" s="101"/>
      <c r="B232" s="22" t="s">
        <v>93</v>
      </c>
      <c r="C232" s="186"/>
      <c r="D232" s="107"/>
      <c r="E232" s="107"/>
      <c r="F232" s="191"/>
      <c r="G232" s="22"/>
      <c r="H232" s="107"/>
      <c r="I232" s="107"/>
      <c r="J232" s="22"/>
      <c r="K232" s="107"/>
      <c r="L232" s="15"/>
      <c r="M232" s="15"/>
      <c r="N232" s="107"/>
      <c r="O232" s="107"/>
      <c r="P232" s="107"/>
      <c r="Q232" s="100"/>
      <c r="R232" s="107"/>
      <c r="T232" s="15"/>
      <c r="U232" s="15"/>
      <c r="V232" s="15"/>
      <c r="W232" s="15"/>
      <c r="X232" s="15"/>
      <c r="Y232" s="15"/>
      <c r="Z232" s="15"/>
      <c r="AA232" s="15"/>
      <c r="AB232" s="15"/>
      <c r="AC232" s="15"/>
      <c r="AD232" s="15"/>
    </row>
    <row r="233" spans="1:30" x14ac:dyDescent="0.25">
      <c r="A233" s="101"/>
      <c r="B233" s="22" t="s">
        <v>104</v>
      </c>
      <c r="C233" s="186"/>
      <c r="D233" s="107"/>
      <c r="E233" s="107"/>
      <c r="F233" s="191"/>
      <c r="G233" s="22"/>
      <c r="H233" s="107"/>
      <c r="I233" s="107"/>
      <c r="J233" s="22"/>
      <c r="K233" s="107"/>
      <c r="L233" s="15"/>
      <c r="M233" s="15"/>
      <c r="N233" s="107"/>
      <c r="O233" s="107"/>
      <c r="P233" s="107"/>
      <c r="Q233" s="100"/>
      <c r="R233" s="107"/>
      <c r="T233" s="15"/>
      <c r="U233" s="15"/>
      <c r="V233" s="15"/>
      <c r="W233" s="15"/>
      <c r="X233" s="15"/>
      <c r="Y233" s="15"/>
      <c r="Z233" s="15"/>
      <c r="AA233" s="15"/>
      <c r="AB233" s="15"/>
      <c r="AC233" s="15"/>
      <c r="AD233" s="15"/>
    </row>
    <row r="234" spans="1:30" x14ac:dyDescent="0.25">
      <c r="A234" s="101"/>
      <c r="B234" s="582" t="s">
        <v>111</v>
      </c>
      <c r="C234" s="582"/>
      <c r="D234" s="582"/>
      <c r="E234" s="582"/>
      <c r="F234" s="582"/>
      <c r="G234" s="582"/>
      <c r="H234" s="582"/>
      <c r="I234" s="582"/>
      <c r="J234" s="582"/>
      <c r="K234" s="582"/>
      <c r="L234" s="582"/>
      <c r="M234" s="582"/>
      <c r="N234" s="582"/>
      <c r="O234" s="582"/>
      <c r="P234" s="582"/>
      <c r="Q234" s="582"/>
      <c r="R234" s="582"/>
      <c r="S234" s="582"/>
      <c r="T234" s="15"/>
      <c r="U234" s="15"/>
      <c r="V234" s="15"/>
      <c r="W234" s="15"/>
      <c r="X234" s="15"/>
      <c r="Y234" s="15"/>
      <c r="Z234" s="15"/>
      <c r="AA234" s="15"/>
      <c r="AB234" s="15"/>
      <c r="AC234" s="15"/>
      <c r="AD234" s="15"/>
    </row>
    <row r="235" spans="1:30" x14ac:dyDescent="0.25">
      <c r="A235" s="101"/>
      <c r="B235" s="22" t="s">
        <v>113</v>
      </c>
      <c r="C235" s="186"/>
      <c r="D235" s="107"/>
      <c r="E235" s="107"/>
      <c r="F235" s="191"/>
      <c r="G235" s="22"/>
      <c r="H235" s="107"/>
      <c r="I235" s="107"/>
      <c r="J235" s="22"/>
      <c r="K235" s="107"/>
      <c r="L235" s="15"/>
      <c r="M235" s="15"/>
      <c r="N235" s="107"/>
      <c r="O235" s="107"/>
      <c r="P235" s="107"/>
      <c r="Q235" s="100"/>
      <c r="R235" s="107"/>
      <c r="T235" s="15"/>
      <c r="U235" s="15"/>
      <c r="V235" s="15"/>
      <c r="W235" s="15"/>
      <c r="X235" s="15"/>
      <c r="Y235" s="15"/>
      <c r="Z235" s="15"/>
      <c r="AA235" s="15"/>
      <c r="AB235" s="15"/>
      <c r="AC235" s="15"/>
      <c r="AD235" s="15"/>
    </row>
    <row r="236" spans="1:30" x14ac:dyDescent="0.25">
      <c r="A236" s="101"/>
      <c r="B236" s="101"/>
      <c r="C236" s="186"/>
      <c r="D236" s="107"/>
      <c r="E236" s="107"/>
      <c r="F236" s="190"/>
      <c r="G236" s="15"/>
      <c r="H236" s="107"/>
      <c r="I236" s="107"/>
      <c r="J236" s="15"/>
      <c r="K236" s="107"/>
      <c r="L236" s="15"/>
      <c r="M236" s="15"/>
      <c r="N236" s="107"/>
      <c r="P236" s="581"/>
      <c r="Q236" s="581"/>
      <c r="R236" s="581"/>
      <c r="S236" s="581"/>
      <c r="T236" s="15"/>
      <c r="U236" s="15"/>
      <c r="V236" s="15"/>
      <c r="W236" s="15"/>
      <c r="X236" s="15"/>
      <c r="Y236" s="15"/>
      <c r="Z236" s="15"/>
      <c r="AA236" s="15"/>
      <c r="AB236" s="15"/>
      <c r="AC236" s="15"/>
      <c r="AD236" s="15"/>
    </row>
    <row r="237" spans="1:30" x14ac:dyDescent="0.25">
      <c r="A237" s="576" t="s">
        <v>26</v>
      </c>
      <c r="B237" s="576"/>
      <c r="C237" s="576"/>
      <c r="D237" s="576"/>
      <c r="E237" s="107"/>
      <c r="F237" s="576" t="s">
        <v>27</v>
      </c>
      <c r="G237" s="576"/>
      <c r="H237" s="576" t="s">
        <v>28</v>
      </c>
      <c r="I237" s="576"/>
      <c r="J237" s="576"/>
      <c r="K237" s="576"/>
      <c r="L237" s="576"/>
      <c r="M237" s="576"/>
      <c r="N237" s="576"/>
      <c r="O237" s="576"/>
      <c r="P237" s="576" t="s">
        <v>90</v>
      </c>
      <c r="Q237" s="576"/>
      <c r="R237" s="576"/>
      <c r="S237" s="576"/>
      <c r="T237" s="15"/>
      <c r="U237" s="15"/>
      <c r="V237" s="15"/>
      <c r="W237" s="15"/>
      <c r="X237" s="15"/>
      <c r="Y237" s="15"/>
      <c r="Z237" s="15"/>
      <c r="AA237" s="15"/>
      <c r="AB237" s="15"/>
      <c r="AC237" s="15"/>
      <c r="AD237" s="15"/>
    </row>
    <row r="238" spans="1:30" x14ac:dyDescent="0.25">
      <c r="A238" s="577"/>
      <c r="B238" s="577"/>
      <c r="C238" s="577"/>
      <c r="D238" s="577"/>
      <c r="T238" s="15"/>
      <c r="U238" s="15"/>
      <c r="V238" s="15"/>
      <c r="W238" s="15"/>
      <c r="X238" s="15"/>
      <c r="Y238" s="15"/>
      <c r="Z238" s="15"/>
      <c r="AA238" s="15"/>
      <c r="AB238" s="15"/>
      <c r="AC238" s="15"/>
      <c r="AD238" s="15"/>
    </row>
    <row r="239" spans="1:30" x14ac:dyDescent="0.25">
      <c r="T239" s="15"/>
      <c r="U239" s="15"/>
      <c r="V239" s="15"/>
      <c r="W239" s="15"/>
      <c r="X239" s="15"/>
      <c r="Y239" s="15"/>
      <c r="Z239" s="15"/>
      <c r="AA239" s="15"/>
      <c r="AB239" s="15"/>
      <c r="AC239" s="15"/>
      <c r="AD239" s="15"/>
    </row>
    <row r="240" spans="1:30" x14ac:dyDescent="0.25">
      <c r="T240" s="15"/>
      <c r="U240" s="15"/>
      <c r="V240" s="15"/>
      <c r="W240" s="15"/>
      <c r="X240" s="15"/>
      <c r="Y240" s="15"/>
      <c r="Z240" s="15"/>
      <c r="AA240" s="15"/>
      <c r="AB240" s="15"/>
      <c r="AC240" s="15"/>
      <c r="AD240" s="15"/>
    </row>
    <row r="241" spans="1:30" x14ac:dyDescent="0.25">
      <c r="T241" s="15"/>
      <c r="U241" s="15"/>
      <c r="V241" s="15"/>
      <c r="W241" s="15"/>
      <c r="X241" s="15"/>
      <c r="Y241" s="15"/>
      <c r="Z241" s="15"/>
      <c r="AA241" s="15"/>
      <c r="AB241" s="15"/>
      <c r="AC241" s="15"/>
      <c r="AD241" s="15"/>
    </row>
    <row r="242" spans="1:30" x14ac:dyDescent="0.25">
      <c r="A242" s="576"/>
      <c r="B242" s="576"/>
      <c r="C242" s="576"/>
      <c r="D242" s="576"/>
      <c r="E242" s="105"/>
      <c r="F242" s="576" t="s">
        <v>114</v>
      </c>
      <c r="G242" s="576"/>
      <c r="H242" s="576" t="s">
        <v>101</v>
      </c>
      <c r="I242" s="576"/>
      <c r="J242" s="576"/>
      <c r="K242" s="576"/>
      <c r="L242" s="576"/>
      <c r="M242" s="576"/>
      <c r="N242" s="576"/>
      <c r="O242" s="576"/>
      <c r="T242" s="15"/>
      <c r="U242" s="15"/>
      <c r="V242" s="15"/>
      <c r="W242" s="15"/>
      <c r="X242" s="15"/>
      <c r="Y242" s="15"/>
      <c r="Z242" s="15"/>
      <c r="AA242" s="15"/>
      <c r="AB242" s="15"/>
      <c r="AC242" s="15"/>
      <c r="AD242" s="15"/>
    </row>
    <row r="243" spans="1:30" x14ac:dyDescent="0.25">
      <c r="T243" s="15"/>
      <c r="U243" s="15"/>
      <c r="V243" s="15"/>
      <c r="W243" s="15"/>
      <c r="X243" s="15"/>
      <c r="Y243" s="15"/>
      <c r="Z243" s="15"/>
      <c r="AA243" s="15"/>
      <c r="AB243" s="15"/>
      <c r="AC243" s="15"/>
      <c r="AD243" s="15"/>
    </row>
    <row r="244" spans="1:30" x14ac:dyDescent="0.25">
      <c r="T244" s="15"/>
      <c r="U244" s="15"/>
      <c r="V244" s="15"/>
      <c r="W244" s="15"/>
      <c r="X244" s="15"/>
      <c r="Y244" s="15"/>
      <c r="Z244" s="15"/>
      <c r="AA244" s="15"/>
      <c r="AB244" s="15"/>
      <c r="AC244" s="15"/>
      <c r="AD244" s="15"/>
    </row>
    <row r="245" spans="1:30" x14ac:dyDescent="0.25">
      <c r="T245" s="15"/>
      <c r="U245" s="15"/>
      <c r="V245" s="15"/>
      <c r="W245" s="15"/>
      <c r="X245" s="15"/>
      <c r="Y245" s="15"/>
      <c r="Z245" s="15"/>
      <c r="AA245" s="15"/>
      <c r="AB245" s="15"/>
      <c r="AC245" s="15"/>
      <c r="AD245" s="15"/>
    </row>
    <row r="246" spans="1:30" x14ac:dyDescent="0.25">
      <c r="T246" s="15"/>
      <c r="U246" s="15"/>
      <c r="V246" s="15"/>
      <c r="W246" s="15"/>
      <c r="X246" s="15"/>
      <c r="Y246" s="15"/>
      <c r="Z246" s="15"/>
      <c r="AA246" s="15"/>
      <c r="AB246" s="15"/>
      <c r="AC246" s="15"/>
      <c r="AD246" s="15"/>
    </row>
    <row r="247" spans="1:30" ht="16.5" x14ac:dyDescent="0.25">
      <c r="E247" s="97"/>
      <c r="H247" s="97"/>
      <c r="P247" s="97"/>
      <c r="Q247" s="103"/>
      <c r="R247" s="97"/>
      <c r="S247" s="97"/>
      <c r="T247" s="15"/>
      <c r="U247" s="15"/>
      <c r="V247" s="15"/>
      <c r="W247" s="15"/>
      <c r="X247" s="15"/>
      <c r="Y247" s="15"/>
      <c r="Z247" s="15"/>
      <c r="AA247" s="15"/>
      <c r="AB247" s="15"/>
      <c r="AC247" s="15"/>
      <c r="AD247" s="15"/>
    </row>
    <row r="248" spans="1:30" x14ac:dyDescent="0.25">
      <c r="T248" s="15"/>
      <c r="U248" s="15"/>
      <c r="V248" s="15"/>
      <c r="W248" s="15"/>
      <c r="X248" s="15"/>
      <c r="Y248" s="15"/>
      <c r="Z248" s="15"/>
      <c r="AA248" s="15"/>
      <c r="AB248" s="15"/>
      <c r="AC248" s="15"/>
      <c r="AD248" s="15"/>
    </row>
    <row r="249" spans="1:30" x14ac:dyDescent="0.25">
      <c r="A249" s="10"/>
      <c r="B249" s="10"/>
      <c r="C249" s="195"/>
      <c r="D249" s="105"/>
      <c r="E249" s="105"/>
      <c r="F249" s="193"/>
      <c r="G249" s="10"/>
      <c r="H249" s="105"/>
      <c r="I249" s="105"/>
      <c r="J249" s="10"/>
      <c r="K249" s="105"/>
      <c r="L249" s="10"/>
      <c r="M249" s="10"/>
      <c r="N249" s="105"/>
      <c r="O249" s="105"/>
      <c r="P249" s="105"/>
      <c r="Q249" s="111"/>
      <c r="R249" s="105"/>
      <c r="S249" s="105"/>
      <c r="T249" s="15"/>
      <c r="U249" s="15"/>
      <c r="V249" s="15"/>
      <c r="W249" s="15"/>
      <c r="X249" s="15"/>
      <c r="Y249" s="15"/>
      <c r="Z249" s="15"/>
      <c r="AA249" s="15"/>
      <c r="AB249" s="15"/>
      <c r="AC249" s="15"/>
      <c r="AD249" s="15"/>
    </row>
    <row r="250" spans="1:30" ht="16.5" x14ac:dyDescent="0.25">
      <c r="A250" s="3"/>
      <c r="B250" s="3"/>
      <c r="C250" s="196"/>
      <c r="D250" s="97"/>
      <c r="T250" s="15"/>
      <c r="U250" s="15"/>
      <c r="V250" s="15"/>
      <c r="W250" s="15"/>
      <c r="X250" s="15"/>
      <c r="Y250" s="15"/>
      <c r="Z250" s="15"/>
      <c r="AA250" s="15"/>
      <c r="AB250" s="15"/>
      <c r="AC250" s="15"/>
      <c r="AD250" s="15"/>
    </row>
    <row r="251" spans="1:30" x14ac:dyDescent="0.25">
      <c r="T251" s="15"/>
      <c r="U251" s="15"/>
      <c r="V251" s="15"/>
      <c r="W251" s="15"/>
      <c r="X251" s="15"/>
      <c r="Y251" s="15"/>
      <c r="Z251" s="15"/>
      <c r="AA251" s="15"/>
      <c r="AB251" s="15"/>
      <c r="AC251" s="15"/>
      <c r="AD251" s="15"/>
    </row>
    <row r="252" spans="1:30" x14ac:dyDescent="0.25">
      <c r="T252" s="15"/>
      <c r="U252" s="15"/>
      <c r="V252" s="15"/>
      <c r="W252" s="15"/>
      <c r="X252" s="15"/>
      <c r="Y252" s="15"/>
      <c r="Z252" s="15"/>
      <c r="AA252" s="15"/>
      <c r="AB252" s="15"/>
      <c r="AC252" s="15"/>
      <c r="AD252" s="15"/>
    </row>
    <row r="253" spans="1:30" x14ac:dyDescent="0.25">
      <c r="T253" s="15"/>
      <c r="U253" s="15"/>
      <c r="V253" s="15"/>
      <c r="W253" s="15"/>
      <c r="X253" s="15"/>
      <c r="Y253" s="15"/>
      <c r="Z253" s="15"/>
      <c r="AA253" s="15"/>
      <c r="AB253" s="15"/>
      <c r="AC253" s="15"/>
      <c r="AD253" s="15"/>
    </row>
    <row r="254" spans="1:30" x14ac:dyDescent="0.25">
      <c r="T254" s="15"/>
      <c r="U254" s="15"/>
      <c r="V254" s="15"/>
      <c r="W254" s="15"/>
      <c r="X254" s="15"/>
      <c r="Y254" s="15"/>
      <c r="Z254" s="15"/>
      <c r="AA254" s="15"/>
      <c r="AB254" s="15"/>
      <c r="AC254" s="15"/>
      <c r="AD254" s="15"/>
    </row>
    <row r="255" spans="1:30" x14ac:dyDescent="0.25">
      <c r="T255" s="15"/>
      <c r="U255" s="15"/>
      <c r="V255" s="15"/>
      <c r="W255" s="15"/>
      <c r="X255" s="15"/>
      <c r="Y255" s="15"/>
      <c r="Z255" s="15"/>
      <c r="AA255" s="15"/>
      <c r="AB255" s="15"/>
      <c r="AC255" s="15"/>
      <c r="AD255" s="15"/>
    </row>
    <row r="256" spans="1:30" x14ac:dyDescent="0.25">
      <c r="T256" s="15"/>
      <c r="U256" s="15"/>
      <c r="V256" s="15"/>
      <c r="W256" s="15"/>
      <c r="X256" s="15"/>
      <c r="Y256" s="15"/>
      <c r="Z256" s="15"/>
      <c r="AA256" s="15"/>
      <c r="AB256" s="15"/>
      <c r="AC256" s="15"/>
      <c r="AD256" s="15"/>
    </row>
    <row r="257" spans="20:30" x14ac:dyDescent="0.25">
      <c r="T257" s="15"/>
      <c r="U257" s="15"/>
      <c r="V257" s="15"/>
      <c r="W257" s="15"/>
      <c r="X257" s="15"/>
      <c r="Y257" s="15"/>
      <c r="Z257" s="15"/>
      <c r="AA257" s="15"/>
      <c r="AB257" s="15"/>
      <c r="AC257" s="15"/>
      <c r="AD257" s="15"/>
    </row>
    <row r="258" spans="20:30" x14ac:dyDescent="0.25">
      <c r="T258" s="15"/>
      <c r="U258" s="15"/>
      <c r="V258" s="15"/>
      <c r="W258" s="15"/>
      <c r="X258" s="15"/>
      <c r="Y258" s="15"/>
      <c r="Z258" s="15"/>
      <c r="AA258" s="15"/>
      <c r="AB258" s="15"/>
      <c r="AC258" s="15"/>
      <c r="AD258" s="15"/>
    </row>
    <row r="259" spans="20:30" x14ac:dyDescent="0.25">
      <c r="T259" s="15"/>
      <c r="U259" s="15"/>
      <c r="V259" s="15"/>
      <c r="W259" s="15"/>
      <c r="X259" s="15"/>
      <c r="Y259" s="15"/>
      <c r="Z259" s="15"/>
      <c r="AA259" s="15"/>
      <c r="AB259" s="15"/>
      <c r="AC259" s="15"/>
      <c r="AD259" s="15"/>
    </row>
    <row r="260" spans="20:30" x14ac:dyDescent="0.25">
      <c r="T260" s="15"/>
      <c r="U260" s="15"/>
      <c r="V260" s="15"/>
      <c r="W260" s="15"/>
      <c r="X260" s="15"/>
      <c r="Y260" s="15"/>
      <c r="Z260" s="15"/>
      <c r="AA260" s="15"/>
      <c r="AB260" s="15"/>
      <c r="AC260" s="15"/>
      <c r="AD260" s="15"/>
    </row>
    <row r="261" spans="20:30" x14ac:dyDescent="0.25">
      <c r="T261" s="15"/>
      <c r="U261" s="15"/>
      <c r="V261" s="15"/>
      <c r="W261" s="15"/>
      <c r="X261" s="15"/>
      <c r="Y261" s="15"/>
      <c r="Z261" s="15"/>
      <c r="AA261" s="15"/>
      <c r="AB261" s="15"/>
      <c r="AC261" s="15"/>
      <c r="AD261" s="15"/>
    </row>
    <row r="262" spans="20:30" x14ac:dyDescent="0.25">
      <c r="T262" s="15"/>
      <c r="U262" s="15"/>
      <c r="V262" s="15"/>
      <c r="W262" s="15"/>
      <c r="X262" s="15"/>
      <c r="Y262" s="15"/>
      <c r="Z262" s="15"/>
      <c r="AA262" s="15"/>
      <c r="AB262" s="15"/>
      <c r="AC262" s="15"/>
      <c r="AD262" s="15"/>
    </row>
    <row r="263" spans="20:30" x14ac:dyDescent="0.25">
      <c r="T263" s="15"/>
      <c r="U263" s="15"/>
      <c r="V263" s="15"/>
      <c r="W263" s="15"/>
      <c r="X263" s="15"/>
      <c r="Y263" s="15"/>
      <c r="Z263" s="15"/>
      <c r="AA263" s="15"/>
      <c r="AB263" s="15"/>
      <c r="AC263" s="15"/>
      <c r="AD263" s="15"/>
    </row>
    <row r="264" spans="20:30" x14ac:dyDescent="0.25">
      <c r="T264" s="15"/>
      <c r="U264" s="15"/>
      <c r="V264" s="15"/>
      <c r="W264" s="15"/>
      <c r="X264" s="15"/>
      <c r="Y264" s="15"/>
      <c r="Z264" s="15"/>
      <c r="AA264" s="15"/>
      <c r="AB264" s="15"/>
      <c r="AC264" s="15"/>
      <c r="AD264" s="15"/>
    </row>
    <row r="265" spans="20:30" x14ac:dyDescent="0.25">
      <c r="T265" s="15"/>
      <c r="U265" s="15"/>
      <c r="V265" s="15"/>
      <c r="W265" s="15"/>
      <c r="X265" s="15"/>
      <c r="Y265" s="15"/>
      <c r="Z265" s="15"/>
      <c r="AA265" s="15"/>
      <c r="AB265" s="15"/>
      <c r="AC265" s="15"/>
      <c r="AD265" s="15"/>
    </row>
    <row r="266" spans="20:30" x14ac:dyDescent="0.25">
      <c r="T266" s="15"/>
      <c r="U266" s="15"/>
      <c r="V266" s="15"/>
      <c r="W266" s="15"/>
      <c r="X266" s="15"/>
      <c r="Y266" s="15"/>
      <c r="Z266" s="15"/>
      <c r="AA266" s="15"/>
      <c r="AB266" s="15"/>
      <c r="AC266" s="15"/>
      <c r="AD266" s="15"/>
    </row>
    <row r="267" spans="20:30" x14ac:dyDescent="0.25">
      <c r="T267" s="15"/>
      <c r="U267" s="15"/>
      <c r="V267" s="15"/>
      <c r="W267" s="15"/>
      <c r="X267" s="15"/>
      <c r="Y267" s="15"/>
      <c r="Z267" s="15"/>
      <c r="AA267" s="15"/>
      <c r="AB267" s="15"/>
      <c r="AC267" s="15"/>
      <c r="AD267" s="15"/>
    </row>
    <row r="268" spans="20:30" x14ac:dyDescent="0.25">
      <c r="T268" s="15"/>
      <c r="U268" s="15"/>
      <c r="V268" s="15"/>
      <c r="W268" s="15"/>
      <c r="X268" s="15"/>
      <c r="Y268" s="15"/>
      <c r="Z268" s="15"/>
      <c r="AA268" s="15"/>
      <c r="AB268" s="15"/>
      <c r="AC268" s="15"/>
      <c r="AD268" s="15"/>
    </row>
    <row r="269" spans="20:30" x14ac:dyDescent="0.25">
      <c r="T269" s="15"/>
      <c r="U269" s="15"/>
      <c r="V269" s="15"/>
      <c r="W269" s="15"/>
      <c r="X269" s="15"/>
      <c r="Y269" s="15"/>
      <c r="Z269" s="15"/>
      <c r="AA269" s="15"/>
      <c r="AB269" s="15"/>
      <c r="AC269" s="15"/>
      <c r="AD269" s="15"/>
    </row>
    <row r="270" spans="20:30" x14ac:dyDescent="0.25">
      <c r="T270" s="15"/>
      <c r="U270" s="15"/>
      <c r="V270" s="15"/>
      <c r="W270" s="15"/>
      <c r="X270" s="15"/>
      <c r="Y270" s="15"/>
      <c r="Z270" s="15"/>
      <c r="AA270" s="15"/>
      <c r="AB270" s="15"/>
      <c r="AC270" s="15"/>
      <c r="AD270" s="15"/>
    </row>
    <row r="271" spans="20:30" x14ac:dyDescent="0.25">
      <c r="T271" s="15"/>
      <c r="U271" s="15"/>
      <c r="V271" s="15"/>
      <c r="W271" s="15"/>
      <c r="X271" s="15"/>
      <c r="Y271" s="15"/>
      <c r="Z271" s="15"/>
      <c r="AA271" s="15"/>
      <c r="AB271" s="15"/>
      <c r="AC271" s="15"/>
      <c r="AD271" s="15"/>
    </row>
    <row r="272" spans="20:30" x14ac:dyDescent="0.25">
      <c r="T272" s="15"/>
      <c r="U272" s="15"/>
      <c r="V272" s="15"/>
      <c r="W272" s="15"/>
      <c r="X272" s="15"/>
      <c r="Y272" s="15"/>
      <c r="Z272" s="15"/>
      <c r="AA272" s="15"/>
      <c r="AB272" s="15"/>
      <c r="AC272" s="15"/>
      <c r="AD272" s="15"/>
    </row>
    <row r="273" spans="20:30" x14ac:dyDescent="0.25">
      <c r="T273" s="15"/>
      <c r="U273" s="15"/>
      <c r="V273" s="15"/>
      <c r="W273" s="15"/>
      <c r="X273" s="15"/>
      <c r="Y273" s="15"/>
      <c r="Z273" s="15"/>
      <c r="AA273" s="15"/>
      <c r="AB273" s="15"/>
      <c r="AC273" s="15"/>
      <c r="AD273" s="15"/>
    </row>
    <row r="274" spans="20:30" x14ac:dyDescent="0.25">
      <c r="T274" s="15"/>
      <c r="U274" s="15"/>
      <c r="V274" s="15"/>
      <c r="W274" s="15"/>
      <c r="X274" s="15"/>
      <c r="Y274" s="15"/>
      <c r="Z274" s="15"/>
      <c r="AA274" s="15"/>
      <c r="AB274" s="15"/>
      <c r="AC274" s="15"/>
      <c r="AD274" s="15"/>
    </row>
    <row r="275" spans="20:30" x14ac:dyDescent="0.25">
      <c r="T275" s="15"/>
      <c r="U275" s="15"/>
      <c r="V275" s="15"/>
      <c r="W275" s="15"/>
      <c r="X275" s="15"/>
      <c r="Y275" s="15"/>
      <c r="Z275" s="15"/>
      <c r="AA275" s="15"/>
      <c r="AB275" s="15"/>
      <c r="AC275" s="15"/>
      <c r="AD275" s="15"/>
    </row>
    <row r="276" spans="20:30" x14ac:dyDescent="0.25">
      <c r="T276" s="15"/>
      <c r="U276" s="15"/>
      <c r="V276" s="15"/>
      <c r="W276" s="15"/>
      <c r="X276" s="15"/>
      <c r="Y276" s="15"/>
      <c r="Z276" s="15"/>
      <c r="AA276" s="15"/>
      <c r="AB276" s="15"/>
      <c r="AC276" s="15"/>
      <c r="AD276" s="15"/>
    </row>
    <row r="277" spans="20:30" x14ac:dyDescent="0.25">
      <c r="T277" s="15"/>
      <c r="U277" s="15"/>
      <c r="V277" s="15"/>
      <c r="W277" s="15"/>
      <c r="X277" s="15"/>
      <c r="Y277" s="15"/>
      <c r="Z277" s="15"/>
      <c r="AA277" s="15"/>
      <c r="AB277" s="15"/>
      <c r="AC277" s="15"/>
      <c r="AD277" s="15"/>
    </row>
    <row r="278" spans="20:30" x14ac:dyDescent="0.25">
      <c r="T278" s="15"/>
      <c r="U278" s="15"/>
      <c r="V278" s="15"/>
      <c r="W278" s="15"/>
      <c r="X278" s="15"/>
      <c r="Y278" s="15"/>
      <c r="Z278" s="15"/>
      <c r="AA278" s="15"/>
      <c r="AB278" s="15"/>
      <c r="AC278" s="15"/>
      <c r="AD278" s="15"/>
    </row>
    <row r="279" spans="20:30" x14ac:dyDescent="0.25">
      <c r="T279" s="15"/>
      <c r="U279" s="15"/>
      <c r="V279" s="15"/>
      <c r="W279" s="15"/>
      <c r="X279" s="15"/>
      <c r="Y279" s="15"/>
      <c r="Z279" s="15"/>
      <c r="AA279" s="15"/>
      <c r="AB279" s="15"/>
      <c r="AC279" s="15"/>
      <c r="AD279" s="15"/>
    </row>
    <row r="280" spans="20:30" x14ac:dyDescent="0.25">
      <c r="T280" s="15"/>
      <c r="U280" s="15"/>
      <c r="V280" s="15"/>
      <c r="W280" s="15"/>
      <c r="X280" s="15"/>
      <c r="Y280" s="15"/>
      <c r="Z280" s="15"/>
      <c r="AA280" s="15"/>
      <c r="AB280" s="15"/>
      <c r="AC280" s="15"/>
      <c r="AD280" s="15"/>
    </row>
    <row r="281" spans="20:30" x14ac:dyDescent="0.25">
      <c r="T281" s="15"/>
      <c r="U281" s="15"/>
      <c r="V281" s="15"/>
      <c r="W281" s="15"/>
      <c r="X281" s="15"/>
      <c r="Y281" s="15"/>
      <c r="Z281" s="15"/>
      <c r="AA281" s="15"/>
      <c r="AB281" s="15"/>
      <c r="AC281" s="15"/>
      <c r="AD281" s="15"/>
    </row>
    <row r="282" spans="20:30" x14ac:dyDescent="0.25">
      <c r="T282" s="15"/>
      <c r="U282" s="15"/>
      <c r="V282" s="15"/>
      <c r="W282" s="15"/>
      <c r="X282" s="15"/>
      <c r="Y282" s="15"/>
      <c r="Z282" s="15"/>
      <c r="AA282" s="15"/>
      <c r="AB282" s="15"/>
      <c r="AC282" s="15"/>
      <c r="AD282" s="15"/>
    </row>
    <row r="283" spans="20:30" x14ac:dyDescent="0.25">
      <c r="T283" s="15"/>
      <c r="U283" s="15"/>
      <c r="V283" s="15"/>
      <c r="W283" s="15"/>
      <c r="X283" s="15"/>
      <c r="Y283" s="15"/>
      <c r="Z283" s="15"/>
      <c r="AA283" s="15"/>
      <c r="AB283" s="15"/>
      <c r="AC283" s="15"/>
      <c r="AD283" s="15"/>
    </row>
    <row r="284" spans="20:30" x14ac:dyDescent="0.25">
      <c r="T284" s="15"/>
      <c r="U284" s="15"/>
      <c r="V284" s="15"/>
      <c r="W284" s="15"/>
      <c r="X284" s="15"/>
      <c r="Y284" s="15"/>
      <c r="Z284" s="15"/>
      <c r="AA284" s="15"/>
      <c r="AB284" s="15"/>
      <c r="AC284" s="15"/>
      <c r="AD284" s="15"/>
    </row>
    <row r="285" spans="20:30" x14ac:dyDescent="0.25">
      <c r="T285" s="15"/>
      <c r="U285" s="15"/>
      <c r="V285" s="15"/>
      <c r="W285" s="15"/>
      <c r="X285" s="15"/>
      <c r="Y285" s="15"/>
      <c r="Z285" s="15"/>
      <c r="AA285" s="15"/>
      <c r="AB285" s="15"/>
      <c r="AC285" s="15"/>
      <c r="AD285" s="15"/>
    </row>
    <row r="286" spans="20:30" x14ac:dyDescent="0.25">
      <c r="T286" s="15"/>
      <c r="U286" s="15"/>
      <c r="V286" s="15"/>
      <c r="W286" s="15"/>
      <c r="X286" s="15"/>
      <c r="Y286" s="15"/>
      <c r="Z286" s="15"/>
      <c r="AA286" s="15"/>
      <c r="AB286" s="15"/>
      <c r="AC286" s="15"/>
      <c r="AD286" s="15"/>
    </row>
    <row r="287" spans="20:30" x14ac:dyDescent="0.25">
      <c r="T287" s="15"/>
      <c r="U287" s="15"/>
      <c r="V287" s="15"/>
      <c r="W287" s="15"/>
      <c r="X287" s="15"/>
      <c r="Y287" s="15"/>
      <c r="Z287" s="15"/>
      <c r="AA287" s="15"/>
      <c r="AB287" s="15"/>
      <c r="AC287" s="15"/>
      <c r="AD287" s="15"/>
    </row>
    <row r="288" spans="20:30" x14ac:dyDescent="0.25">
      <c r="T288" s="15"/>
      <c r="U288" s="15"/>
      <c r="V288" s="15"/>
      <c r="W288" s="15"/>
      <c r="X288" s="15"/>
      <c r="Y288" s="15"/>
      <c r="Z288" s="15"/>
      <c r="AA288" s="15"/>
      <c r="AB288" s="15"/>
      <c r="AC288" s="15"/>
      <c r="AD288" s="15"/>
    </row>
    <row r="289" spans="20:30" x14ac:dyDescent="0.25">
      <c r="T289" s="15"/>
      <c r="U289" s="15"/>
      <c r="V289" s="15"/>
      <c r="W289" s="15"/>
      <c r="X289" s="15"/>
      <c r="Y289" s="15"/>
      <c r="Z289" s="15"/>
      <c r="AA289" s="15"/>
      <c r="AB289" s="15"/>
      <c r="AC289" s="15"/>
      <c r="AD289" s="15"/>
    </row>
    <row r="290" spans="20:30" x14ac:dyDescent="0.25">
      <c r="T290" s="15"/>
      <c r="U290" s="15"/>
      <c r="V290" s="15"/>
      <c r="W290" s="15"/>
      <c r="X290" s="15"/>
      <c r="Y290" s="15"/>
      <c r="Z290" s="15"/>
      <c r="AA290" s="15"/>
      <c r="AB290" s="15"/>
      <c r="AC290" s="15"/>
      <c r="AD290" s="15"/>
    </row>
    <row r="291" spans="20:30" x14ac:dyDescent="0.25">
      <c r="T291" s="15"/>
      <c r="U291" s="15"/>
      <c r="V291" s="15"/>
      <c r="W291" s="15"/>
      <c r="X291" s="15"/>
      <c r="Y291" s="15"/>
      <c r="Z291" s="15"/>
      <c r="AA291" s="15"/>
      <c r="AB291" s="15"/>
      <c r="AC291" s="15"/>
      <c r="AD291" s="15"/>
    </row>
    <row r="292" spans="20:30" x14ac:dyDescent="0.25">
      <c r="T292" s="15"/>
      <c r="U292" s="15"/>
      <c r="V292" s="15"/>
      <c r="W292" s="15"/>
      <c r="X292" s="15"/>
      <c r="Y292" s="15"/>
      <c r="Z292" s="15"/>
      <c r="AA292" s="15"/>
      <c r="AB292" s="15"/>
      <c r="AC292" s="15"/>
      <c r="AD292" s="15"/>
    </row>
    <row r="293" spans="20:30" x14ac:dyDescent="0.25">
      <c r="T293" s="15"/>
      <c r="U293" s="15"/>
      <c r="V293" s="15"/>
      <c r="W293" s="15"/>
      <c r="X293" s="15"/>
      <c r="Y293" s="15"/>
      <c r="Z293" s="15"/>
      <c r="AA293" s="15"/>
      <c r="AB293" s="15"/>
      <c r="AC293" s="15"/>
      <c r="AD293" s="15"/>
    </row>
    <row r="294" spans="20:30" x14ac:dyDescent="0.25">
      <c r="T294" s="15"/>
      <c r="U294" s="15"/>
      <c r="V294" s="15"/>
      <c r="W294" s="15"/>
      <c r="X294" s="15"/>
      <c r="Y294" s="15"/>
      <c r="Z294" s="15"/>
      <c r="AA294" s="15"/>
      <c r="AB294" s="15"/>
      <c r="AC294" s="15"/>
      <c r="AD294" s="15"/>
    </row>
    <row r="295" spans="20:30" x14ac:dyDescent="0.25">
      <c r="T295" s="15"/>
      <c r="U295" s="15"/>
      <c r="V295" s="15"/>
      <c r="W295" s="15"/>
      <c r="X295" s="15"/>
      <c r="Y295" s="15"/>
      <c r="Z295" s="15"/>
      <c r="AA295" s="15"/>
      <c r="AB295" s="15"/>
      <c r="AC295" s="15"/>
      <c r="AD295" s="15"/>
    </row>
    <row r="296" spans="20:30" x14ac:dyDescent="0.25">
      <c r="T296" s="15"/>
      <c r="U296" s="15"/>
      <c r="V296" s="15"/>
      <c r="W296" s="15"/>
      <c r="X296" s="15"/>
      <c r="Y296" s="15"/>
      <c r="Z296" s="15"/>
      <c r="AA296" s="15"/>
      <c r="AB296" s="15"/>
      <c r="AC296" s="15"/>
      <c r="AD296" s="15"/>
    </row>
    <row r="297" spans="20:30" x14ac:dyDescent="0.25">
      <c r="T297" s="15"/>
      <c r="U297" s="15"/>
      <c r="V297" s="15"/>
      <c r="W297" s="15"/>
      <c r="X297" s="15"/>
      <c r="Y297" s="15"/>
      <c r="Z297" s="15"/>
      <c r="AA297" s="15"/>
      <c r="AB297" s="15"/>
      <c r="AC297" s="15"/>
      <c r="AD297" s="15"/>
    </row>
    <row r="298" spans="20:30" x14ac:dyDescent="0.25">
      <c r="T298" s="15"/>
      <c r="U298" s="15"/>
      <c r="V298" s="15"/>
      <c r="W298" s="15"/>
      <c r="X298" s="15"/>
      <c r="Y298" s="15"/>
      <c r="Z298" s="15"/>
      <c r="AA298" s="15"/>
      <c r="AB298" s="15"/>
      <c r="AC298" s="15"/>
      <c r="AD298" s="15"/>
    </row>
    <row r="299" spans="20:30" x14ac:dyDescent="0.25">
      <c r="T299" s="15"/>
      <c r="U299" s="15"/>
      <c r="V299" s="15"/>
      <c r="W299" s="15"/>
      <c r="X299" s="15"/>
      <c r="Y299" s="15"/>
      <c r="Z299" s="15"/>
      <c r="AA299" s="15"/>
      <c r="AB299" s="15"/>
      <c r="AC299" s="15"/>
      <c r="AD299" s="15"/>
    </row>
    <row r="300" spans="20:30" x14ac:dyDescent="0.25">
      <c r="T300" s="15"/>
      <c r="U300" s="15"/>
      <c r="V300" s="15"/>
      <c r="W300" s="15"/>
      <c r="X300" s="15"/>
      <c r="Y300" s="15"/>
      <c r="Z300" s="15"/>
      <c r="AA300" s="15"/>
      <c r="AB300" s="15"/>
      <c r="AC300" s="15"/>
      <c r="AD300" s="15"/>
    </row>
    <row r="301" spans="20:30" x14ac:dyDescent="0.25">
      <c r="T301" s="15"/>
      <c r="U301" s="15"/>
      <c r="V301" s="15"/>
      <c r="W301" s="15"/>
      <c r="X301" s="15"/>
      <c r="Y301" s="15"/>
      <c r="Z301" s="15"/>
      <c r="AA301" s="15"/>
      <c r="AB301" s="15"/>
      <c r="AC301" s="15"/>
      <c r="AD301" s="15"/>
    </row>
    <row r="302" spans="20:30" x14ac:dyDescent="0.25">
      <c r="T302" s="15"/>
      <c r="U302" s="15"/>
      <c r="V302" s="15"/>
      <c r="W302" s="15"/>
      <c r="X302" s="15"/>
      <c r="Y302" s="15"/>
      <c r="Z302" s="15"/>
      <c r="AA302" s="15"/>
      <c r="AB302" s="15"/>
      <c r="AC302" s="15"/>
      <c r="AD302" s="15"/>
    </row>
    <row r="303" spans="20:30" x14ac:dyDescent="0.25">
      <c r="T303" s="15"/>
      <c r="U303" s="15"/>
      <c r="V303" s="15"/>
      <c r="W303" s="15"/>
      <c r="X303" s="15"/>
      <c r="Y303" s="15"/>
      <c r="Z303" s="15"/>
      <c r="AA303" s="15"/>
      <c r="AB303" s="15"/>
      <c r="AC303" s="15"/>
      <c r="AD303" s="15"/>
    </row>
    <row r="304" spans="20:30" x14ac:dyDescent="0.25">
      <c r="T304" s="15"/>
      <c r="U304" s="15"/>
      <c r="V304" s="15"/>
      <c r="W304" s="15"/>
      <c r="X304" s="15"/>
      <c r="Y304" s="15"/>
      <c r="Z304" s="15"/>
      <c r="AA304" s="15"/>
      <c r="AB304" s="15"/>
      <c r="AC304" s="15"/>
      <c r="AD304" s="15"/>
    </row>
    <row r="305" spans="20:30" x14ac:dyDescent="0.25">
      <c r="T305" s="15"/>
      <c r="U305" s="15"/>
      <c r="V305" s="15"/>
      <c r="W305" s="15"/>
      <c r="X305" s="15"/>
      <c r="Y305" s="15"/>
      <c r="Z305" s="15"/>
      <c r="AA305" s="15"/>
      <c r="AB305" s="15"/>
      <c r="AC305" s="15"/>
      <c r="AD305" s="15"/>
    </row>
    <row r="306" spans="20:30" x14ac:dyDescent="0.25">
      <c r="T306" s="15"/>
      <c r="U306" s="15"/>
      <c r="V306" s="15"/>
      <c r="W306" s="15"/>
      <c r="X306" s="15"/>
      <c r="Y306" s="15"/>
      <c r="Z306" s="15"/>
      <c r="AA306" s="15"/>
      <c r="AB306" s="15"/>
      <c r="AC306" s="15"/>
      <c r="AD306" s="15"/>
    </row>
    <row r="307" spans="20:30" x14ac:dyDescent="0.25">
      <c r="T307" s="15"/>
      <c r="U307" s="15"/>
      <c r="V307" s="15"/>
      <c r="W307" s="15"/>
      <c r="X307" s="15"/>
      <c r="Y307" s="15"/>
      <c r="Z307" s="15"/>
      <c r="AA307" s="15"/>
      <c r="AB307" s="15"/>
      <c r="AC307" s="15"/>
      <c r="AD307" s="15"/>
    </row>
    <row r="308" spans="20:30" x14ac:dyDescent="0.25">
      <c r="T308" s="15"/>
      <c r="U308" s="15"/>
      <c r="V308" s="15"/>
      <c r="W308" s="15"/>
      <c r="X308" s="15"/>
      <c r="Y308" s="15"/>
      <c r="Z308" s="15"/>
      <c r="AA308" s="15"/>
      <c r="AB308" s="15"/>
      <c r="AC308" s="15"/>
      <c r="AD308" s="15"/>
    </row>
    <row r="309" spans="20:30" x14ac:dyDescent="0.25">
      <c r="T309" s="15"/>
      <c r="U309" s="15"/>
      <c r="V309" s="15"/>
      <c r="W309" s="15"/>
      <c r="X309" s="15"/>
      <c r="Y309" s="15"/>
      <c r="Z309" s="15"/>
      <c r="AA309" s="15"/>
      <c r="AB309" s="15"/>
      <c r="AC309" s="15"/>
      <c r="AD309" s="15"/>
    </row>
    <row r="310" spans="20:30" x14ac:dyDescent="0.25">
      <c r="T310" s="15"/>
      <c r="U310" s="15"/>
      <c r="V310" s="15"/>
      <c r="W310" s="15"/>
      <c r="X310" s="15"/>
      <c r="Y310" s="15"/>
      <c r="Z310" s="15"/>
      <c r="AA310" s="15"/>
      <c r="AB310" s="15"/>
      <c r="AC310" s="15"/>
      <c r="AD310" s="15"/>
    </row>
    <row r="311" spans="20:30" x14ac:dyDescent="0.25">
      <c r="T311" s="15"/>
      <c r="U311" s="15"/>
      <c r="V311" s="15"/>
      <c r="W311" s="15"/>
      <c r="X311" s="15"/>
      <c r="Y311" s="15"/>
      <c r="Z311" s="15"/>
      <c r="AA311" s="15"/>
      <c r="AB311" s="15"/>
      <c r="AC311" s="15"/>
      <c r="AD311" s="15"/>
    </row>
    <row r="312" spans="20:30" x14ac:dyDescent="0.25">
      <c r="T312" s="15"/>
      <c r="U312" s="15"/>
      <c r="V312" s="15"/>
      <c r="W312" s="15"/>
      <c r="X312" s="15"/>
      <c r="Y312" s="15"/>
      <c r="Z312" s="15"/>
      <c r="AA312" s="15"/>
      <c r="AB312" s="15"/>
      <c r="AC312" s="15"/>
      <c r="AD312" s="15"/>
    </row>
    <row r="313" spans="20:30" x14ac:dyDescent="0.25">
      <c r="T313" s="15"/>
      <c r="U313" s="15"/>
      <c r="V313" s="15"/>
      <c r="W313" s="15"/>
      <c r="X313" s="15"/>
      <c r="Y313" s="15"/>
      <c r="Z313" s="15"/>
      <c r="AA313" s="15"/>
      <c r="AB313" s="15"/>
      <c r="AC313" s="15"/>
      <c r="AD313" s="15"/>
    </row>
    <row r="314" spans="20:30" x14ac:dyDescent="0.25">
      <c r="T314" s="15"/>
      <c r="U314" s="15"/>
      <c r="V314" s="15"/>
      <c r="W314" s="15"/>
      <c r="X314" s="15"/>
      <c r="Y314" s="15"/>
      <c r="Z314" s="15"/>
      <c r="AA314" s="15"/>
      <c r="AB314" s="15"/>
      <c r="AC314" s="15"/>
      <c r="AD314" s="15"/>
    </row>
    <row r="315" spans="20:30" x14ac:dyDescent="0.25">
      <c r="T315" s="15"/>
      <c r="U315" s="15"/>
      <c r="V315" s="15"/>
      <c r="W315" s="15"/>
      <c r="X315" s="15"/>
      <c r="Y315" s="15"/>
      <c r="Z315" s="15"/>
      <c r="AA315" s="15"/>
      <c r="AB315" s="15"/>
      <c r="AC315" s="15"/>
      <c r="AD315" s="15"/>
    </row>
    <row r="316" spans="20:30" x14ac:dyDescent="0.25">
      <c r="T316" s="15"/>
      <c r="U316" s="15"/>
      <c r="V316" s="15"/>
      <c r="W316" s="15"/>
      <c r="X316" s="15"/>
      <c r="Y316" s="15"/>
      <c r="Z316" s="15"/>
      <c r="AA316" s="15"/>
      <c r="AB316" s="15"/>
      <c r="AC316" s="15"/>
      <c r="AD316" s="15"/>
    </row>
    <row r="317" spans="20:30" x14ac:dyDescent="0.25">
      <c r="T317" s="15"/>
      <c r="U317" s="15"/>
      <c r="V317" s="15"/>
      <c r="W317" s="15"/>
      <c r="X317" s="15"/>
      <c r="Y317" s="15"/>
      <c r="Z317" s="15"/>
      <c r="AA317" s="15"/>
      <c r="AB317" s="15"/>
      <c r="AC317" s="15"/>
      <c r="AD317" s="15"/>
    </row>
    <row r="318" spans="20:30" x14ac:dyDescent="0.25">
      <c r="T318" s="15"/>
      <c r="U318" s="15"/>
      <c r="V318" s="15"/>
      <c r="W318" s="15"/>
      <c r="X318" s="15"/>
      <c r="Y318" s="15"/>
      <c r="Z318" s="15"/>
      <c r="AA318" s="15"/>
      <c r="AB318" s="15"/>
      <c r="AC318" s="15"/>
      <c r="AD318" s="15"/>
    </row>
    <row r="319" spans="20:30" x14ac:dyDescent="0.25">
      <c r="T319" s="15"/>
      <c r="U319" s="15"/>
      <c r="V319" s="15"/>
      <c r="W319" s="15"/>
      <c r="X319" s="15"/>
      <c r="Y319" s="15"/>
      <c r="Z319" s="15"/>
      <c r="AA319" s="15"/>
      <c r="AB319" s="15"/>
      <c r="AC319" s="15"/>
      <c r="AD319" s="15"/>
    </row>
    <row r="320" spans="20:30" x14ac:dyDescent="0.25">
      <c r="T320" s="15"/>
      <c r="U320" s="15"/>
      <c r="V320" s="15"/>
      <c r="W320" s="15"/>
      <c r="X320" s="15"/>
      <c r="Y320" s="15"/>
      <c r="Z320" s="15"/>
      <c r="AA320" s="15"/>
      <c r="AB320" s="15"/>
      <c r="AC320" s="15"/>
      <c r="AD320" s="15"/>
    </row>
    <row r="321" spans="20:30" x14ac:dyDescent="0.25">
      <c r="T321" s="15"/>
      <c r="U321" s="15"/>
      <c r="V321" s="15"/>
      <c r="W321" s="15"/>
      <c r="X321" s="15"/>
      <c r="Y321" s="15"/>
      <c r="Z321" s="15"/>
      <c r="AA321" s="15"/>
      <c r="AB321" s="15"/>
      <c r="AC321" s="15"/>
      <c r="AD321" s="15"/>
    </row>
    <row r="322" spans="20:30" x14ac:dyDescent="0.25">
      <c r="T322" s="15"/>
      <c r="U322" s="15"/>
      <c r="V322" s="15"/>
      <c r="W322" s="15"/>
      <c r="X322" s="15"/>
      <c r="Y322" s="15"/>
      <c r="Z322" s="15"/>
      <c r="AA322" s="15"/>
      <c r="AB322" s="15"/>
      <c r="AC322" s="15"/>
      <c r="AD322" s="15"/>
    </row>
    <row r="323" spans="20:30" x14ac:dyDescent="0.25">
      <c r="T323" s="15"/>
      <c r="U323" s="15"/>
      <c r="V323" s="15"/>
      <c r="W323" s="15"/>
      <c r="X323" s="15"/>
      <c r="Y323" s="15"/>
      <c r="Z323" s="15"/>
      <c r="AA323" s="15"/>
      <c r="AB323" s="15"/>
      <c r="AC323" s="15"/>
      <c r="AD323" s="15"/>
    </row>
    <row r="324" spans="20:30" x14ac:dyDescent="0.25">
      <c r="T324" s="15"/>
      <c r="U324" s="15"/>
      <c r="V324" s="15"/>
      <c r="W324" s="15"/>
      <c r="X324" s="15"/>
      <c r="Y324" s="15"/>
      <c r="Z324" s="15"/>
      <c r="AA324" s="15"/>
      <c r="AB324" s="15"/>
      <c r="AC324" s="15"/>
      <c r="AD324" s="15"/>
    </row>
    <row r="325" spans="20:30" x14ac:dyDescent="0.25">
      <c r="T325" s="15"/>
      <c r="U325" s="15"/>
      <c r="V325" s="15"/>
      <c r="W325" s="15"/>
      <c r="X325" s="15"/>
      <c r="Y325" s="15"/>
      <c r="Z325" s="15"/>
      <c r="AA325" s="15"/>
      <c r="AB325" s="15"/>
      <c r="AC325" s="15"/>
      <c r="AD325" s="15"/>
    </row>
    <row r="326" spans="20:30" x14ac:dyDescent="0.25">
      <c r="T326" s="15"/>
      <c r="U326" s="15"/>
      <c r="V326" s="15"/>
      <c r="W326" s="15"/>
      <c r="X326" s="15"/>
      <c r="Y326" s="15"/>
      <c r="Z326" s="15"/>
      <c r="AA326" s="15"/>
      <c r="AB326" s="15"/>
      <c r="AC326" s="15"/>
      <c r="AD326" s="15"/>
    </row>
    <row r="327" spans="20:30" x14ac:dyDescent="0.25">
      <c r="T327" s="15"/>
      <c r="U327" s="15"/>
      <c r="V327" s="15"/>
      <c r="W327" s="15"/>
      <c r="X327" s="15"/>
      <c r="Y327" s="15"/>
      <c r="Z327" s="15"/>
      <c r="AA327" s="15"/>
      <c r="AB327" s="15"/>
      <c r="AC327" s="15"/>
      <c r="AD327" s="15"/>
    </row>
    <row r="328" spans="20:30" x14ac:dyDescent="0.25">
      <c r="T328" s="15"/>
      <c r="U328" s="15"/>
      <c r="V328" s="15"/>
      <c r="W328" s="15"/>
      <c r="X328" s="15"/>
      <c r="Y328" s="15"/>
      <c r="Z328" s="15"/>
      <c r="AA328" s="15"/>
      <c r="AB328" s="15"/>
      <c r="AC328" s="15"/>
      <c r="AD328" s="15"/>
    </row>
    <row r="329" spans="20:30" x14ac:dyDescent="0.25">
      <c r="T329" s="15"/>
      <c r="U329" s="15"/>
      <c r="V329" s="15"/>
      <c r="W329" s="15"/>
      <c r="X329" s="15"/>
      <c r="Y329" s="15"/>
      <c r="Z329" s="15"/>
      <c r="AA329" s="15"/>
      <c r="AB329" s="15"/>
      <c r="AC329" s="15"/>
      <c r="AD329" s="15"/>
    </row>
    <row r="330" spans="20:30" x14ac:dyDescent="0.25">
      <c r="T330" s="15"/>
      <c r="U330" s="15"/>
      <c r="V330" s="15"/>
      <c r="W330" s="15"/>
      <c r="X330" s="15"/>
      <c r="Y330" s="15"/>
      <c r="Z330" s="15"/>
      <c r="AA330" s="15"/>
      <c r="AB330" s="15"/>
      <c r="AC330" s="15"/>
      <c r="AD330" s="15"/>
    </row>
    <row r="331" spans="20:30" x14ac:dyDescent="0.25">
      <c r="T331" s="15"/>
      <c r="U331" s="15"/>
      <c r="V331" s="15"/>
      <c r="W331" s="15"/>
      <c r="X331" s="15"/>
      <c r="Y331" s="15"/>
      <c r="Z331" s="15"/>
      <c r="AA331" s="15"/>
      <c r="AB331" s="15"/>
      <c r="AC331" s="15"/>
      <c r="AD331" s="15"/>
    </row>
    <row r="332" spans="20:30" x14ac:dyDescent="0.25">
      <c r="T332" s="15"/>
      <c r="U332" s="15"/>
      <c r="V332" s="15"/>
      <c r="W332" s="15"/>
      <c r="X332" s="15"/>
      <c r="Y332" s="15"/>
      <c r="Z332" s="15"/>
      <c r="AA332" s="15"/>
      <c r="AB332" s="15"/>
      <c r="AC332" s="15"/>
      <c r="AD332" s="15"/>
    </row>
    <row r="333" spans="20:30" x14ac:dyDescent="0.25">
      <c r="T333" s="15"/>
      <c r="U333" s="15"/>
      <c r="V333" s="15"/>
      <c r="W333" s="15"/>
      <c r="X333" s="15"/>
      <c r="Y333" s="15"/>
      <c r="Z333" s="15"/>
      <c r="AA333" s="15"/>
      <c r="AB333" s="15"/>
      <c r="AC333" s="15"/>
      <c r="AD333" s="15"/>
    </row>
    <row r="334" spans="20:30" x14ac:dyDescent="0.25">
      <c r="T334" s="15"/>
      <c r="U334" s="15"/>
      <c r="V334" s="15"/>
      <c r="W334" s="15"/>
      <c r="X334" s="15"/>
      <c r="Y334" s="15"/>
      <c r="Z334" s="15"/>
      <c r="AA334" s="15"/>
      <c r="AB334" s="15"/>
      <c r="AC334" s="15"/>
      <c r="AD334" s="15"/>
    </row>
    <row r="335" spans="20:30" x14ac:dyDescent="0.25">
      <c r="T335" s="15"/>
      <c r="U335" s="15"/>
      <c r="V335" s="15"/>
      <c r="W335" s="15"/>
      <c r="X335" s="15"/>
      <c r="Y335" s="15"/>
      <c r="Z335" s="15"/>
      <c r="AA335" s="15"/>
      <c r="AB335" s="15"/>
      <c r="AC335" s="15"/>
      <c r="AD335" s="15"/>
    </row>
    <row r="336" spans="20:30" x14ac:dyDescent="0.25">
      <c r="T336" s="15"/>
      <c r="U336" s="15"/>
      <c r="V336" s="15"/>
      <c r="W336" s="15"/>
      <c r="X336" s="15"/>
      <c r="Y336" s="15"/>
      <c r="Z336" s="15"/>
      <c r="AA336" s="15"/>
      <c r="AB336" s="15"/>
      <c r="AC336" s="15"/>
      <c r="AD336" s="15"/>
    </row>
    <row r="337" spans="20:30" x14ac:dyDescent="0.25">
      <c r="T337" s="15"/>
      <c r="U337" s="15"/>
      <c r="V337" s="15"/>
      <c r="W337" s="15"/>
      <c r="X337" s="15"/>
      <c r="Y337" s="15"/>
      <c r="Z337" s="15"/>
      <c r="AA337" s="15"/>
      <c r="AB337" s="15"/>
      <c r="AC337" s="15"/>
      <c r="AD337" s="15"/>
    </row>
    <row r="338" spans="20:30" x14ac:dyDescent="0.25">
      <c r="T338" s="15"/>
      <c r="U338" s="15"/>
      <c r="V338" s="15"/>
      <c r="W338" s="15"/>
      <c r="X338" s="15"/>
      <c r="Y338" s="15"/>
      <c r="Z338" s="15"/>
      <c r="AA338" s="15"/>
      <c r="AB338" s="15"/>
      <c r="AC338" s="15"/>
      <c r="AD338" s="15"/>
    </row>
    <row r="339" spans="20:30" x14ac:dyDescent="0.25">
      <c r="T339" s="15"/>
      <c r="U339" s="15"/>
      <c r="V339" s="15"/>
      <c r="W339" s="15"/>
      <c r="X339" s="15"/>
      <c r="Y339" s="15"/>
      <c r="Z339" s="15"/>
      <c r="AA339" s="15"/>
      <c r="AB339" s="15"/>
      <c r="AC339" s="15"/>
      <c r="AD339" s="15"/>
    </row>
    <row r="340" spans="20:30" x14ac:dyDescent="0.25">
      <c r="T340" s="15"/>
      <c r="U340" s="15"/>
      <c r="V340" s="15"/>
      <c r="W340" s="15"/>
      <c r="X340" s="15"/>
      <c r="Y340" s="15"/>
      <c r="Z340" s="15"/>
      <c r="AA340" s="15"/>
      <c r="AB340" s="15"/>
      <c r="AC340" s="15"/>
      <c r="AD340" s="15"/>
    </row>
    <row r="341" spans="20:30" x14ac:dyDescent="0.25">
      <c r="T341" s="15"/>
      <c r="U341" s="15"/>
      <c r="V341" s="15"/>
      <c r="W341" s="15"/>
      <c r="X341" s="15"/>
      <c r="Y341" s="15"/>
      <c r="Z341" s="15"/>
      <c r="AA341" s="15"/>
      <c r="AB341" s="15"/>
      <c r="AC341" s="15"/>
      <c r="AD341" s="15"/>
    </row>
    <row r="342" spans="20:30" x14ac:dyDescent="0.25">
      <c r="T342" s="15"/>
      <c r="U342" s="15"/>
      <c r="V342" s="15"/>
      <c r="W342" s="15"/>
      <c r="X342" s="15"/>
      <c r="Y342" s="15"/>
      <c r="Z342" s="15"/>
      <c r="AA342" s="15"/>
      <c r="AB342" s="15"/>
      <c r="AC342" s="15"/>
      <c r="AD342" s="15"/>
    </row>
    <row r="343" spans="20:30" x14ac:dyDescent="0.25">
      <c r="T343" s="15"/>
      <c r="U343" s="15"/>
      <c r="V343" s="15"/>
      <c r="W343" s="15"/>
      <c r="X343" s="15"/>
      <c r="Y343" s="15"/>
      <c r="Z343" s="15"/>
      <c r="AA343" s="15"/>
      <c r="AB343" s="15"/>
      <c r="AC343" s="15"/>
      <c r="AD343" s="15"/>
    </row>
    <row r="344" spans="20:30" x14ac:dyDescent="0.25">
      <c r="T344" s="15"/>
      <c r="U344" s="15"/>
      <c r="V344" s="15"/>
      <c r="W344" s="15"/>
      <c r="X344" s="15"/>
      <c r="Y344" s="15"/>
      <c r="Z344" s="15"/>
      <c r="AA344" s="15"/>
      <c r="AB344" s="15"/>
      <c r="AC344" s="15"/>
      <c r="AD344" s="15"/>
    </row>
    <row r="345" spans="20:30" x14ac:dyDescent="0.25">
      <c r="T345" s="15"/>
      <c r="U345" s="15"/>
      <c r="V345" s="15"/>
      <c r="W345" s="15"/>
      <c r="X345" s="15"/>
      <c r="Y345" s="15"/>
      <c r="Z345" s="15"/>
      <c r="AA345" s="15"/>
      <c r="AB345" s="15"/>
      <c r="AC345" s="15"/>
      <c r="AD345" s="15"/>
    </row>
    <row r="346" spans="20:30" x14ac:dyDescent="0.25">
      <c r="T346" s="15"/>
      <c r="U346" s="15"/>
      <c r="V346" s="15"/>
      <c r="W346" s="15"/>
      <c r="X346" s="15"/>
      <c r="Y346" s="15"/>
      <c r="Z346" s="15"/>
      <c r="AA346" s="15"/>
      <c r="AB346" s="15"/>
      <c r="AC346" s="15"/>
      <c r="AD346" s="15"/>
    </row>
    <row r="347" spans="20:30" x14ac:dyDescent="0.25">
      <c r="T347" s="15"/>
      <c r="U347" s="15"/>
      <c r="V347" s="15"/>
      <c r="W347" s="15"/>
      <c r="X347" s="15"/>
      <c r="Y347" s="15"/>
      <c r="Z347" s="15"/>
      <c r="AA347" s="15"/>
      <c r="AB347" s="15"/>
      <c r="AC347" s="15"/>
      <c r="AD347" s="15"/>
    </row>
    <row r="348" spans="20:30" x14ac:dyDescent="0.25">
      <c r="T348" s="15"/>
      <c r="U348" s="15"/>
      <c r="V348" s="15"/>
      <c r="W348" s="15"/>
      <c r="X348" s="15"/>
      <c r="Y348" s="15"/>
      <c r="Z348" s="15"/>
      <c r="AA348" s="15"/>
      <c r="AB348" s="15"/>
      <c r="AC348" s="15"/>
      <c r="AD348" s="15"/>
    </row>
    <row r="349" spans="20:30" x14ac:dyDescent="0.25">
      <c r="T349" s="15"/>
      <c r="U349" s="15"/>
      <c r="V349" s="15"/>
      <c r="W349" s="15"/>
      <c r="X349" s="15"/>
      <c r="Y349" s="15"/>
      <c r="Z349" s="15"/>
      <c r="AA349" s="15"/>
      <c r="AB349" s="15"/>
      <c r="AC349" s="15"/>
      <c r="AD349" s="15"/>
    </row>
    <row r="350" spans="20:30" x14ac:dyDescent="0.25">
      <c r="T350" s="15"/>
      <c r="U350" s="15"/>
      <c r="V350" s="15"/>
      <c r="W350" s="15"/>
      <c r="X350" s="15"/>
      <c r="Y350" s="15"/>
      <c r="Z350" s="15"/>
      <c r="AA350" s="15"/>
      <c r="AB350" s="15"/>
      <c r="AC350" s="15"/>
      <c r="AD350" s="15"/>
    </row>
    <row r="351" spans="20:30" x14ac:dyDescent="0.25">
      <c r="T351" s="15"/>
      <c r="U351" s="15"/>
      <c r="V351" s="15"/>
      <c r="W351" s="15"/>
      <c r="X351" s="15"/>
      <c r="Y351" s="15"/>
      <c r="Z351" s="15"/>
      <c r="AA351" s="15"/>
      <c r="AB351" s="15"/>
      <c r="AC351" s="15"/>
      <c r="AD351" s="15"/>
    </row>
    <row r="352" spans="20:30" x14ac:dyDescent="0.25">
      <c r="T352" s="15"/>
      <c r="U352" s="15"/>
      <c r="V352" s="15"/>
      <c r="W352" s="15"/>
      <c r="X352" s="15"/>
      <c r="Y352" s="15"/>
      <c r="Z352" s="15"/>
      <c r="AA352" s="15"/>
      <c r="AB352" s="15"/>
      <c r="AC352" s="15"/>
      <c r="AD352" s="15"/>
    </row>
    <row r="353" spans="20:30" x14ac:dyDescent="0.25">
      <c r="T353" s="15"/>
      <c r="U353" s="15"/>
      <c r="V353" s="15"/>
      <c r="W353" s="15"/>
      <c r="X353" s="15"/>
      <c r="Y353" s="15"/>
      <c r="Z353" s="15"/>
      <c r="AA353" s="15"/>
      <c r="AB353" s="15"/>
      <c r="AC353" s="15"/>
      <c r="AD353" s="15"/>
    </row>
    <row r="354" spans="20:30" x14ac:dyDescent="0.25">
      <c r="T354" s="15"/>
      <c r="U354" s="15"/>
      <c r="V354" s="15"/>
      <c r="W354" s="15"/>
      <c r="X354" s="15"/>
      <c r="Y354" s="15"/>
      <c r="Z354" s="15"/>
      <c r="AA354" s="15"/>
      <c r="AB354" s="15"/>
      <c r="AC354" s="15"/>
      <c r="AD354" s="15"/>
    </row>
    <row r="355" spans="20:30" x14ac:dyDescent="0.25">
      <c r="T355" s="15"/>
      <c r="U355" s="15"/>
      <c r="V355" s="15"/>
      <c r="W355" s="15"/>
      <c r="X355" s="15"/>
      <c r="Y355" s="15"/>
      <c r="Z355" s="15"/>
      <c r="AA355" s="15"/>
      <c r="AB355" s="15"/>
      <c r="AC355" s="15"/>
      <c r="AD355" s="15"/>
    </row>
    <row r="356" spans="20:30" x14ac:dyDescent="0.25">
      <c r="T356" s="15"/>
      <c r="U356" s="15"/>
      <c r="V356" s="15"/>
      <c r="W356" s="15"/>
      <c r="X356" s="15"/>
      <c r="Y356" s="15"/>
      <c r="Z356" s="15"/>
      <c r="AA356" s="15"/>
      <c r="AB356" s="15"/>
      <c r="AC356" s="15"/>
      <c r="AD356" s="15"/>
    </row>
    <row r="357" spans="20:30" x14ac:dyDescent="0.25">
      <c r="T357" s="15"/>
      <c r="U357" s="15"/>
      <c r="V357" s="15"/>
      <c r="W357" s="15"/>
      <c r="X357" s="15"/>
      <c r="Y357" s="15"/>
      <c r="Z357" s="15"/>
      <c r="AA357" s="15"/>
      <c r="AB357" s="15"/>
      <c r="AC357" s="15"/>
      <c r="AD357" s="15"/>
    </row>
    <row r="358" spans="20:30" x14ac:dyDescent="0.25">
      <c r="T358" s="15"/>
      <c r="U358" s="15"/>
      <c r="V358" s="15"/>
      <c r="W358" s="15"/>
      <c r="X358" s="15"/>
      <c r="Y358" s="15"/>
      <c r="Z358" s="15"/>
      <c r="AA358" s="15"/>
      <c r="AB358" s="15"/>
      <c r="AC358" s="15"/>
      <c r="AD358" s="15"/>
    </row>
    <row r="359" spans="20:30" x14ac:dyDescent="0.25">
      <c r="T359" s="15"/>
      <c r="U359" s="15"/>
      <c r="V359" s="15"/>
      <c r="W359" s="15"/>
      <c r="X359" s="15"/>
      <c r="Y359" s="15"/>
      <c r="Z359" s="15"/>
      <c r="AA359" s="15"/>
      <c r="AB359" s="15"/>
      <c r="AC359" s="15"/>
      <c r="AD359" s="15"/>
    </row>
    <row r="360" spans="20:30" x14ac:dyDescent="0.25">
      <c r="T360" s="15"/>
      <c r="U360" s="15"/>
      <c r="V360" s="15"/>
      <c r="W360" s="15"/>
      <c r="X360" s="15"/>
      <c r="Y360" s="15"/>
      <c r="Z360" s="15"/>
      <c r="AA360" s="15"/>
      <c r="AB360" s="15"/>
      <c r="AC360" s="15"/>
      <c r="AD360" s="15"/>
    </row>
    <row r="361" spans="20:30" x14ac:dyDescent="0.25">
      <c r="T361" s="15"/>
      <c r="U361" s="15"/>
      <c r="V361" s="15"/>
      <c r="W361" s="15"/>
      <c r="X361" s="15"/>
      <c r="Y361" s="15"/>
      <c r="Z361" s="15"/>
      <c r="AA361" s="15"/>
      <c r="AB361" s="15"/>
      <c r="AC361" s="15"/>
      <c r="AD361" s="15"/>
    </row>
    <row r="362" spans="20:30" x14ac:dyDescent="0.25">
      <c r="T362" s="15"/>
      <c r="U362" s="15"/>
      <c r="V362" s="15"/>
      <c r="W362" s="15"/>
      <c r="X362" s="15"/>
      <c r="Y362" s="15"/>
      <c r="Z362" s="15"/>
      <c r="AA362" s="15"/>
      <c r="AB362" s="15"/>
      <c r="AC362" s="15"/>
      <c r="AD362" s="15"/>
    </row>
    <row r="363" spans="20:30" x14ac:dyDescent="0.25">
      <c r="T363" s="15"/>
      <c r="U363" s="15"/>
      <c r="V363" s="15"/>
      <c r="W363" s="15"/>
      <c r="X363" s="15"/>
      <c r="Y363" s="15"/>
      <c r="Z363" s="15"/>
      <c r="AA363" s="15"/>
      <c r="AB363" s="15"/>
      <c r="AC363" s="15"/>
      <c r="AD363" s="15"/>
    </row>
    <row r="364" spans="20:30" x14ac:dyDescent="0.25">
      <c r="T364" s="15"/>
      <c r="U364" s="15"/>
      <c r="V364" s="15"/>
      <c r="W364" s="15"/>
      <c r="X364" s="15"/>
      <c r="Y364" s="15"/>
      <c r="Z364" s="15"/>
      <c r="AA364" s="15"/>
      <c r="AB364" s="15"/>
      <c r="AC364" s="15"/>
      <c r="AD364" s="15"/>
    </row>
    <row r="365" spans="20:30" x14ac:dyDescent="0.25">
      <c r="T365" s="15"/>
      <c r="U365" s="15"/>
      <c r="V365" s="15"/>
      <c r="W365" s="15"/>
      <c r="X365" s="15"/>
      <c r="Y365" s="15"/>
      <c r="Z365" s="15"/>
      <c r="AA365" s="15"/>
      <c r="AB365" s="15"/>
      <c r="AC365" s="15"/>
      <c r="AD365" s="15"/>
    </row>
    <row r="366" spans="20:30" x14ac:dyDescent="0.25">
      <c r="T366" s="15"/>
      <c r="U366" s="15"/>
      <c r="V366" s="15"/>
      <c r="W366" s="15"/>
      <c r="X366" s="15"/>
      <c r="Y366" s="15"/>
      <c r="Z366" s="15"/>
      <c r="AA366" s="15"/>
      <c r="AB366" s="15"/>
      <c r="AC366" s="15"/>
      <c r="AD366" s="15"/>
    </row>
    <row r="367" spans="20:30" x14ac:dyDescent="0.25">
      <c r="T367" s="15"/>
      <c r="U367" s="15"/>
      <c r="V367" s="15"/>
      <c r="W367" s="15"/>
      <c r="X367" s="15"/>
      <c r="Y367" s="15"/>
      <c r="Z367" s="15"/>
      <c r="AA367" s="15"/>
      <c r="AB367" s="15"/>
      <c r="AC367" s="15"/>
      <c r="AD367" s="15"/>
    </row>
    <row r="368" spans="20:30" x14ac:dyDescent="0.25">
      <c r="T368" s="15"/>
      <c r="U368" s="15"/>
      <c r="V368" s="15"/>
      <c r="W368" s="15"/>
      <c r="X368" s="15"/>
      <c r="Y368" s="15"/>
      <c r="Z368" s="15"/>
      <c r="AA368" s="15"/>
      <c r="AB368" s="15"/>
      <c r="AC368" s="15"/>
      <c r="AD368" s="15"/>
    </row>
    <row r="369" spans="20:30" x14ac:dyDescent="0.25">
      <c r="T369" s="15"/>
      <c r="U369" s="15"/>
      <c r="V369" s="15"/>
      <c r="W369" s="15"/>
      <c r="X369" s="15"/>
      <c r="Y369" s="15"/>
      <c r="Z369" s="15"/>
      <c r="AA369" s="15"/>
      <c r="AB369" s="15"/>
      <c r="AC369" s="15"/>
      <c r="AD369" s="15"/>
    </row>
    <row r="370" spans="20:30" x14ac:dyDescent="0.25">
      <c r="T370" s="15"/>
      <c r="U370" s="15"/>
      <c r="V370" s="15"/>
      <c r="W370" s="15"/>
      <c r="X370" s="15"/>
      <c r="Y370" s="15"/>
      <c r="Z370" s="15"/>
      <c r="AA370" s="15"/>
      <c r="AB370" s="15"/>
      <c r="AC370" s="15"/>
      <c r="AD370" s="15"/>
    </row>
    <row r="371" spans="20:30" x14ac:dyDescent="0.25">
      <c r="T371" s="15"/>
      <c r="U371" s="15"/>
      <c r="V371" s="15"/>
      <c r="W371" s="15"/>
      <c r="X371" s="15"/>
      <c r="Y371" s="15"/>
      <c r="Z371" s="15"/>
      <c r="AA371" s="15"/>
      <c r="AB371" s="15"/>
      <c r="AC371" s="15"/>
      <c r="AD371" s="15"/>
    </row>
    <row r="372" spans="20:30" x14ac:dyDescent="0.25">
      <c r="T372" s="15"/>
      <c r="U372" s="15"/>
      <c r="V372" s="15"/>
      <c r="W372" s="15"/>
      <c r="X372" s="15"/>
      <c r="Y372" s="15"/>
      <c r="Z372" s="15"/>
      <c r="AA372" s="15"/>
      <c r="AB372" s="15"/>
      <c r="AC372" s="15"/>
      <c r="AD372" s="15"/>
    </row>
    <row r="373" spans="20:30" x14ac:dyDescent="0.25">
      <c r="T373" s="15"/>
      <c r="U373" s="15"/>
      <c r="V373" s="15"/>
      <c r="W373" s="15"/>
      <c r="X373" s="15"/>
      <c r="Y373" s="15"/>
      <c r="Z373" s="15"/>
      <c r="AA373" s="15"/>
      <c r="AB373" s="15"/>
      <c r="AC373" s="15"/>
      <c r="AD373" s="15"/>
    </row>
    <row r="374" spans="20:30" x14ac:dyDescent="0.25">
      <c r="T374" s="15"/>
      <c r="U374" s="15"/>
      <c r="V374" s="15"/>
      <c r="W374" s="15"/>
      <c r="X374" s="15"/>
      <c r="Y374" s="15"/>
      <c r="Z374" s="15"/>
      <c r="AA374" s="15"/>
      <c r="AB374" s="15"/>
      <c r="AC374" s="15"/>
      <c r="AD374" s="15"/>
    </row>
    <row r="375" spans="20:30" x14ac:dyDescent="0.25">
      <c r="T375" s="15"/>
      <c r="U375" s="15"/>
      <c r="V375" s="15"/>
      <c r="W375" s="15"/>
      <c r="X375" s="15"/>
      <c r="Y375" s="15"/>
      <c r="Z375" s="15"/>
      <c r="AA375" s="15"/>
      <c r="AB375" s="15"/>
      <c r="AC375" s="15"/>
      <c r="AD375" s="15"/>
    </row>
    <row r="376" spans="20:30" x14ac:dyDescent="0.25">
      <c r="T376" s="15"/>
      <c r="U376" s="15"/>
      <c r="V376" s="15"/>
      <c r="W376" s="15"/>
      <c r="X376" s="15"/>
      <c r="Y376" s="15"/>
      <c r="Z376" s="15"/>
      <c r="AA376" s="15"/>
      <c r="AB376" s="15"/>
      <c r="AC376" s="15"/>
      <c r="AD376" s="15"/>
    </row>
    <row r="377" spans="20:30" x14ac:dyDescent="0.25">
      <c r="T377" s="15"/>
      <c r="U377" s="15"/>
      <c r="V377" s="15"/>
      <c r="W377" s="15"/>
      <c r="X377" s="15"/>
      <c r="Y377" s="15"/>
      <c r="Z377" s="15"/>
      <c r="AA377" s="15"/>
      <c r="AB377" s="15"/>
      <c r="AC377" s="15"/>
      <c r="AD377" s="15"/>
    </row>
    <row r="378" spans="20:30" x14ac:dyDescent="0.25">
      <c r="T378" s="15"/>
      <c r="U378" s="15"/>
      <c r="V378" s="15"/>
      <c r="W378" s="15"/>
      <c r="X378" s="15"/>
      <c r="Y378" s="15"/>
      <c r="Z378" s="15"/>
      <c r="AA378" s="15"/>
      <c r="AB378" s="15"/>
      <c r="AC378" s="15"/>
      <c r="AD378" s="15"/>
    </row>
    <row r="379" spans="20:30" x14ac:dyDescent="0.25">
      <c r="T379" s="15"/>
      <c r="U379" s="15"/>
      <c r="V379" s="15"/>
      <c r="W379" s="15"/>
      <c r="X379" s="15"/>
      <c r="Y379" s="15"/>
      <c r="Z379" s="15"/>
      <c r="AA379" s="15"/>
      <c r="AB379" s="15"/>
      <c r="AC379" s="15"/>
      <c r="AD379" s="15"/>
    </row>
    <row r="380" spans="20:30" x14ac:dyDescent="0.25">
      <c r="T380" s="15"/>
      <c r="U380" s="15"/>
      <c r="V380" s="15"/>
      <c r="W380" s="15"/>
      <c r="X380" s="15"/>
      <c r="Y380" s="15"/>
      <c r="Z380" s="15"/>
      <c r="AA380" s="15"/>
      <c r="AB380" s="15"/>
      <c r="AC380" s="15"/>
      <c r="AD380" s="15"/>
    </row>
    <row r="381" spans="20:30" x14ac:dyDescent="0.25">
      <c r="T381" s="15"/>
      <c r="U381" s="15"/>
      <c r="V381" s="15"/>
      <c r="W381" s="15"/>
      <c r="X381" s="15"/>
      <c r="Y381" s="15"/>
      <c r="Z381" s="15"/>
      <c r="AA381" s="15"/>
      <c r="AB381" s="15"/>
      <c r="AC381" s="15"/>
      <c r="AD381" s="15"/>
    </row>
    <row r="382" spans="20:30" x14ac:dyDescent="0.25">
      <c r="T382" s="15"/>
      <c r="U382" s="15"/>
      <c r="V382" s="15"/>
      <c r="W382" s="15"/>
      <c r="X382" s="15"/>
      <c r="Y382" s="15"/>
      <c r="Z382" s="15"/>
      <c r="AA382" s="15"/>
      <c r="AB382" s="15"/>
      <c r="AC382" s="15"/>
      <c r="AD382" s="15"/>
    </row>
    <row r="383" spans="20:30" x14ac:dyDescent="0.25">
      <c r="T383" s="15"/>
      <c r="U383" s="15"/>
      <c r="V383" s="15"/>
      <c r="W383" s="15"/>
      <c r="X383" s="15"/>
      <c r="Y383" s="15"/>
      <c r="Z383" s="15"/>
      <c r="AA383" s="15"/>
      <c r="AB383" s="15"/>
      <c r="AC383" s="15"/>
      <c r="AD383" s="15"/>
    </row>
    <row r="384" spans="20:30" x14ac:dyDescent="0.25">
      <c r="T384" s="15"/>
      <c r="U384" s="15"/>
      <c r="V384" s="15"/>
      <c r="W384" s="15"/>
      <c r="X384" s="15"/>
      <c r="Y384" s="15"/>
      <c r="Z384" s="15"/>
      <c r="AA384" s="15"/>
      <c r="AB384" s="15"/>
      <c r="AC384" s="15"/>
      <c r="AD384" s="15"/>
    </row>
    <row r="385" spans="20:30" x14ac:dyDescent="0.25">
      <c r="T385" s="15"/>
      <c r="U385" s="15"/>
      <c r="V385" s="15"/>
      <c r="W385" s="15"/>
      <c r="X385" s="15"/>
      <c r="Y385" s="15"/>
      <c r="Z385" s="15"/>
      <c r="AA385" s="15"/>
      <c r="AB385" s="15"/>
      <c r="AC385" s="15"/>
      <c r="AD385" s="15"/>
    </row>
    <row r="386" spans="20:30" x14ac:dyDescent="0.25">
      <c r="T386" s="15"/>
      <c r="U386" s="15"/>
      <c r="V386" s="15"/>
      <c r="W386" s="15"/>
      <c r="X386" s="15"/>
      <c r="Y386" s="15"/>
      <c r="Z386" s="15"/>
      <c r="AA386" s="15"/>
      <c r="AB386" s="15"/>
      <c r="AC386" s="15"/>
      <c r="AD386" s="15"/>
    </row>
    <row r="387" spans="20:30" x14ac:dyDescent="0.25">
      <c r="T387" s="15"/>
      <c r="U387" s="15"/>
      <c r="V387" s="15"/>
      <c r="W387" s="15"/>
      <c r="X387" s="15"/>
      <c r="Y387" s="15"/>
      <c r="Z387" s="15"/>
      <c r="AA387" s="15"/>
      <c r="AB387" s="15"/>
      <c r="AC387" s="15"/>
      <c r="AD387" s="15"/>
    </row>
    <row r="388" spans="20:30" x14ac:dyDescent="0.25">
      <c r="T388" s="15"/>
      <c r="U388" s="15"/>
      <c r="V388" s="15"/>
      <c r="W388" s="15"/>
      <c r="X388" s="15"/>
      <c r="Y388" s="15"/>
      <c r="Z388" s="15"/>
      <c r="AA388" s="15"/>
      <c r="AB388" s="15"/>
      <c r="AC388" s="15"/>
      <c r="AD388" s="15"/>
    </row>
    <row r="389" spans="20:30" x14ac:dyDescent="0.25">
      <c r="T389" s="15"/>
      <c r="U389" s="15"/>
      <c r="V389" s="15"/>
      <c r="W389" s="15"/>
      <c r="X389" s="15"/>
      <c r="Y389" s="15"/>
      <c r="Z389" s="15"/>
      <c r="AA389" s="15"/>
      <c r="AB389" s="15"/>
      <c r="AC389" s="15"/>
      <c r="AD389" s="15"/>
    </row>
    <row r="390" spans="20:30" x14ac:dyDescent="0.25">
      <c r="T390" s="15"/>
      <c r="U390" s="15"/>
      <c r="V390" s="15"/>
      <c r="W390" s="15"/>
      <c r="X390" s="15"/>
      <c r="Y390" s="15"/>
      <c r="Z390" s="15"/>
      <c r="AA390" s="15"/>
      <c r="AB390" s="15"/>
      <c r="AC390" s="15"/>
      <c r="AD390" s="15"/>
    </row>
    <row r="391" spans="20:30" x14ac:dyDescent="0.25">
      <c r="T391" s="15"/>
      <c r="U391" s="15"/>
      <c r="V391" s="15"/>
      <c r="W391" s="15"/>
      <c r="X391" s="15"/>
      <c r="Y391" s="15"/>
      <c r="Z391" s="15"/>
      <c r="AA391" s="15"/>
      <c r="AB391" s="15"/>
      <c r="AC391" s="15"/>
      <c r="AD391" s="15"/>
    </row>
    <row r="392" spans="20:30" x14ac:dyDescent="0.25">
      <c r="T392" s="15"/>
      <c r="U392" s="15"/>
      <c r="V392" s="15"/>
      <c r="W392" s="15"/>
      <c r="X392" s="15"/>
      <c r="Y392" s="15"/>
      <c r="Z392" s="15"/>
      <c r="AA392" s="15"/>
      <c r="AB392" s="15"/>
      <c r="AC392" s="15"/>
      <c r="AD392" s="15"/>
    </row>
    <row r="393" spans="20:30" x14ac:dyDescent="0.25">
      <c r="T393" s="15"/>
      <c r="U393" s="15"/>
      <c r="V393" s="15"/>
      <c r="W393" s="15"/>
      <c r="X393" s="15"/>
      <c r="Y393" s="15"/>
      <c r="Z393" s="15"/>
      <c r="AA393" s="15"/>
      <c r="AB393" s="15"/>
      <c r="AC393" s="15"/>
      <c r="AD393" s="15"/>
    </row>
    <row r="394" spans="20:30" x14ac:dyDescent="0.25">
      <c r="T394" s="15"/>
      <c r="U394" s="15"/>
      <c r="V394" s="15"/>
      <c r="W394" s="15"/>
      <c r="X394" s="15"/>
      <c r="Y394" s="15"/>
      <c r="Z394" s="15"/>
      <c r="AA394" s="15"/>
      <c r="AB394" s="15"/>
      <c r="AC394" s="15"/>
      <c r="AD394" s="15"/>
    </row>
    <row r="395" spans="20:30" x14ac:dyDescent="0.25">
      <c r="T395" s="15"/>
      <c r="U395" s="15"/>
      <c r="V395" s="15"/>
      <c r="W395" s="15"/>
      <c r="X395" s="15"/>
      <c r="Y395" s="15"/>
      <c r="Z395" s="15"/>
      <c r="AA395" s="15"/>
      <c r="AB395" s="15"/>
      <c r="AC395" s="15"/>
      <c r="AD395" s="15"/>
    </row>
    <row r="396" spans="20:30" x14ac:dyDescent="0.25">
      <c r="T396" s="15"/>
      <c r="U396" s="15"/>
      <c r="V396" s="15"/>
      <c r="W396" s="15"/>
      <c r="X396" s="15"/>
      <c r="Y396" s="15"/>
      <c r="Z396" s="15"/>
      <c r="AA396" s="15"/>
      <c r="AB396" s="15"/>
      <c r="AC396" s="15"/>
      <c r="AD396" s="15"/>
    </row>
    <row r="397" spans="20:30" x14ac:dyDescent="0.25">
      <c r="T397" s="15"/>
      <c r="U397" s="15"/>
      <c r="V397" s="15"/>
      <c r="W397" s="15"/>
      <c r="X397" s="15"/>
      <c r="Y397" s="15"/>
      <c r="Z397" s="15"/>
      <c r="AA397" s="15"/>
      <c r="AB397" s="15"/>
      <c r="AC397" s="15"/>
      <c r="AD397" s="15"/>
    </row>
    <row r="398" spans="20:30" x14ac:dyDescent="0.25">
      <c r="T398" s="15"/>
      <c r="U398" s="15"/>
      <c r="V398" s="15"/>
      <c r="W398" s="15"/>
      <c r="X398" s="15"/>
      <c r="Y398" s="15"/>
      <c r="Z398" s="15"/>
      <c r="AA398" s="15"/>
      <c r="AB398" s="15"/>
      <c r="AC398" s="15"/>
      <c r="AD398" s="15"/>
    </row>
    <row r="399" spans="20:30" x14ac:dyDescent="0.25">
      <c r="T399" s="15"/>
      <c r="U399" s="15"/>
      <c r="V399" s="15"/>
      <c r="W399" s="15"/>
      <c r="X399" s="15"/>
      <c r="Y399" s="15"/>
      <c r="Z399" s="15"/>
      <c r="AA399" s="15"/>
      <c r="AB399" s="15"/>
      <c r="AC399" s="15"/>
      <c r="AD399" s="15"/>
    </row>
    <row r="400" spans="20:30" x14ac:dyDescent="0.25">
      <c r="T400" s="15"/>
      <c r="U400" s="15"/>
      <c r="V400" s="15"/>
      <c r="W400" s="15"/>
      <c r="X400" s="15"/>
      <c r="Y400" s="15"/>
      <c r="Z400" s="15"/>
      <c r="AA400" s="15"/>
      <c r="AB400" s="15"/>
      <c r="AC400" s="15"/>
      <c r="AD400" s="15"/>
    </row>
    <row r="401" spans="20:30" x14ac:dyDescent="0.25">
      <c r="T401" s="15"/>
      <c r="U401" s="15"/>
      <c r="V401" s="15"/>
      <c r="W401" s="15"/>
      <c r="X401" s="15"/>
      <c r="Y401" s="15"/>
      <c r="Z401" s="15"/>
      <c r="AA401" s="15"/>
      <c r="AB401" s="15"/>
      <c r="AC401" s="15"/>
      <c r="AD401" s="15"/>
    </row>
    <row r="402" spans="20:30" x14ac:dyDescent="0.25">
      <c r="T402" s="15"/>
      <c r="U402" s="15"/>
      <c r="V402" s="15"/>
      <c r="W402" s="15"/>
      <c r="X402" s="15"/>
      <c r="Y402" s="15"/>
      <c r="Z402" s="15"/>
      <c r="AA402" s="15"/>
      <c r="AB402" s="15"/>
      <c r="AC402" s="15"/>
      <c r="AD402" s="15"/>
    </row>
    <row r="403" spans="20:30" x14ac:dyDescent="0.25">
      <c r="T403" s="15"/>
      <c r="U403" s="15"/>
      <c r="V403" s="15"/>
      <c r="W403" s="15"/>
      <c r="X403" s="15"/>
      <c r="Y403" s="15"/>
      <c r="Z403" s="15"/>
      <c r="AA403" s="15"/>
      <c r="AB403" s="15"/>
      <c r="AC403" s="15"/>
      <c r="AD403" s="15"/>
    </row>
    <row r="404" spans="20:30" x14ac:dyDescent="0.25">
      <c r="T404" s="15"/>
      <c r="U404" s="15"/>
      <c r="V404" s="15"/>
      <c r="W404" s="15"/>
      <c r="X404" s="15"/>
      <c r="Y404" s="15"/>
      <c r="Z404" s="15"/>
      <c r="AA404" s="15"/>
      <c r="AB404" s="15"/>
      <c r="AC404" s="15"/>
      <c r="AD404" s="15"/>
    </row>
    <row r="405" spans="20:30" x14ac:dyDescent="0.25">
      <c r="T405" s="15"/>
      <c r="U405" s="15"/>
      <c r="V405" s="15"/>
      <c r="W405" s="15"/>
      <c r="X405" s="15"/>
      <c r="Y405" s="15"/>
      <c r="Z405" s="15"/>
      <c r="AA405" s="15"/>
      <c r="AB405" s="15"/>
      <c r="AC405" s="15"/>
      <c r="AD405" s="15"/>
    </row>
    <row r="406" spans="20:30" x14ac:dyDescent="0.25">
      <c r="T406" s="15"/>
      <c r="U406" s="15"/>
      <c r="V406" s="15"/>
      <c r="W406" s="15"/>
      <c r="X406" s="15"/>
      <c r="Y406" s="15"/>
      <c r="Z406" s="15"/>
      <c r="AA406" s="15"/>
      <c r="AB406" s="15"/>
      <c r="AC406" s="15"/>
      <c r="AD406" s="15"/>
    </row>
    <row r="407" spans="20:30" x14ac:dyDescent="0.25">
      <c r="T407" s="15"/>
      <c r="U407" s="15"/>
      <c r="V407" s="15"/>
      <c r="W407" s="15"/>
      <c r="X407" s="15"/>
      <c r="Y407" s="15"/>
      <c r="Z407" s="15"/>
      <c r="AA407" s="15"/>
      <c r="AB407" s="15"/>
      <c r="AC407" s="15"/>
      <c r="AD407" s="15"/>
    </row>
    <row r="408" spans="20:30" x14ac:dyDescent="0.25">
      <c r="T408" s="15"/>
      <c r="U408" s="15"/>
      <c r="V408" s="15"/>
      <c r="W408" s="15"/>
      <c r="X408" s="15"/>
      <c r="Y408" s="15"/>
      <c r="Z408" s="15"/>
      <c r="AA408" s="15"/>
      <c r="AB408" s="15"/>
      <c r="AC408" s="15"/>
      <c r="AD408" s="15"/>
    </row>
    <row r="409" spans="20:30" x14ac:dyDescent="0.25">
      <c r="T409" s="15"/>
      <c r="U409" s="15"/>
      <c r="V409" s="15"/>
      <c r="W409" s="15"/>
      <c r="X409" s="15"/>
      <c r="Y409" s="15"/>
      <c r="Z409" s="15"/>
      <c r="AA409" s="15"/>
      <c r="AB409" s="15"/>
      <c r="AC409" s="15"/>
      <c r="AD409" s="15"/>
    </row>
    <row r="410" spans="20:30" x14ac:dyDescent="0.25">
      <c r="T410" s="15"/>
      <c r="U410" s="15"/>
      <c r="V410" s="15"/>
      <c r="W410" s="15"/>
      <c r="X410" s="15"/>
      <c r="Y410" s="15"/>
      <c r="Z410" s="15"/>
      <c r="AA410" s="15"/>
      <c r="AB410" s="15"/>
      <c r="AC410" s="15"/>
      <c r="AD410" s="15"/>
    </row>
    <row r="411" spans="20:30" x14ac:dyDescent="0.25">
      <c r="T411" s="15"/>
      <c r="U411" s="15"/>
      <c r="V411" s="15"/>
      <c r="W411" s="15"/>
      <c r="X411" s="15"/>
      <c r="Y411" s="15"/>
      <c r="Z411" s="15"/>
      <c r="AA411" s="15"/>
      <c r="AB411" s="15"/>
      <c r="AC411" s="15"/>
      <c r="AD411" s="15"/>
    </row>
    <row r="412" spans="20:30" x14ac:dyDescent="0.25">
      <c r="T412" s="15"/>
      <c r="U412" s="15"/>
      <c r="V412" s="15"/>
      <c r="W412" s="15"/>
      <c r="X412" s="15"/>
      <c r="Y412" s="15"/>
      <c r="Z412" s="15"/>
      <c r="AA412" s="15"/>
      <c r="AB412" s="15"/>
      <c r="AC412" s="15"/>
      <c r="AD412" s="15"/>
    </row>
    <row r="413" spans="20:30" x14ac:dyDescent="0.25">
      <c r="T413" s="15"/>
      <c r="U413" s="15"/>
      <c r="V413" s="15"/>
      <c r="W413" s="15"/>
      <c r="X413" s="15"/>
      <c r="Y413" s="15"/>
      <c r="Z413" s="15"/>
      <c r="AA413" s="15"/>
      <c r="AB413" s="15"/>
      <c r="AC413" s="15"/>
      <c r="AD413" s="15"/>
    </row>
    <row r="414" spans="20:30" x14ac:dyDescent="0.25">
      <c r="T414" s="15"/>
      <c r="U414" s="15"/>
      <c r="V414" s="15"/>
      <c r="W414" s="15"/>
      <c r="X414" s="15"/>
      <c r="Y414" s="15"/>
      <c r="Z414" s="15"/>
      <c r="AA414" s="15"/>
      <c r="AB414" s="15"/>
      <c r="AC414" s="15"/>
      <c r="AD414" s="15"/>
    </row>
    <row r="415" spans="20:30" x14ac:dyDescent="0.25">
      <c r="T415" s="15"/>
      <c r="U415" s="15"/>
      <c r="V415" s="15"/>
      <c r="W415" s="15"/>
      <c r="X415" s="15"/>
      <c r="Y415" s="15"/>
      <c r="Z415" s="15"/>
      <c r="AA415" s="15"/>
      <c r="AB415" s="15"/>
      <c r="AC415" s="15"/>
      <c r="AD415" s="15"/>
    </row>
    <row r="416" spans="20:30" x14ac:dyDescent="0.25">
      <c r="T416" s="15"/>
      <c r="U416" s="15"/>
      <c r="V416" s="15"/>
      <c r="W416" s="15"/>
      <c r="X416" s="15"/>
      <c r="Y416" s="15"/>
      <c r="Z416" s="15"/>
      <c r="AA416" s="15"/>
      <c r="AB416" s="15"/>
      <c r="AC416" s="15"/>
      <c r="AD416" s="15"/>
    </row>
    <row r="417" spans="20:30" x14ac:dyDescent="0.25">
      <c r="T417" s="15"/>
      <c r="U417" s="15"/>
      <c r="V417" s="15"/>
      <c r="W417" s="15"/>
      <c r="X417" s="15"/>
      <c r="Y417" s="15"/>
      <c r="Z417" s="15"/>
      <c r="AA417" s="15"/>
      <c r="AB417" s="15"/>
      <c r="AC417" s="15"/>
      <c r="AD417" s="15"/>
    </row>
    <row r="418" spans="20:30" x14ac:dyDescent="0.25">
      <c r="T418" s="15"/>
      <c r="U418" s="15"/>
      <c r="V418" s="15"/>
      <c r="W418" s="15"/>
      <c r="X418" s="15"/>
      <c r="Y418" s="15"/>
      <c r="Z418" s="15"/>
      <c r="AA418" s="15"/>
      <c r="AB418" s="15"/>
      <c r="AC418" s="15"/>
      <c r="AD418" s="15"/>
    </row>
    <row r="419" spans="20:30" x14ac:dyDescent="0.25">
      <c r="T419" s="15"/>
      <c r="U419" s="15"/>
      <c r="V419" s="15"/>
      <c r="W419" s="15"/>
      <c r="X419" s="15"/>
      <c r="Y419" s="15"/>
      <c r="Z419" s="15"/>
      <c r="AA419" s="15"/>
      <c r="AB419" s="15"/>
      <c r="AC419" s="15"/>
      <c r="AD419" s="15"/>
    </row>
    <row r="420" spans="20:30" x14ac:dyDescent="0.25">
      <c r="T420" s="15"/>
      <c r="U420" s="15"/>
      <c r="V420" s="15"/>
      <c r="W420" s="15"/>
      <c r="X420" s="15"/>
      <c r="Y420" s="15"/>
      <c r="Z420" s="15"/>
      <c r="AA420" s="15"/>
      <c r="AB420" s="15"/>
      <c r="AC420" s="15"/>
      <c r="AD420" s="15"/>
    </row>
    <row r="421" spans="20:30" x14ac:dyDescent="0.25">
      <c r="T421" s="15"/>
      <c r="U421" s="15"/>
      <c r="V421" s="15"/>
      <c r="W421" s="15"/>
      <c r="X421" s="15"/>
      <c r="Y421" s="15"/>
      <c r="Z421" s="15"/>
      <c r="AA421" s="15"/>
      <c r="AB421" s="15"/>
      <c r="AC421" s="15"/>
      <c r="AD421" s="15"/>
    </row>
    <row r="422" spans="20:30" x14ac:dyDescent="0.25">
      <c r="T422" s="15"/>
      <c r="U422" s="15"/>
      <c r="V422" s="15"/>
      <c r="W422" s="15"/>
      <c r="X422" s="15"/>
      <c r="Y422" s="15"/>
      <c r="Z422" s="15"/>
      <c r="AA422" s="15"/>
      <c r="AB422" s="15"/>
      <c r="AC422" s="15"/>
      <c r="AD422" s="15"/>
    </row>
    <row r="423" spans="20:30" x14ac:dyDescent="0.25">
      <c r="T423" s="15"/>
      <c r="U423" s="15"/>
      <c r="V423" s="15"/>
      <c r="W423" s="15"/>
      <c r="X423" s="15"/>
      <c r="Y423" s="15"/>
      <c r="Z423" s="15"/>
      <c r="AA423" s="15"/>
      <c r="AB423" s="15"/>
      <c r="AC423" s="15"/>
      <c r="AD423" s="15"/>
    </row>
    <row r="424" spans="20:30" x14ac:dyDescent="0.25">
      <c r="T424" s="15"/>
      <c r="U424" s="15"/>
      <c r="V424" s="15"/>
      <c r="W424" s="15"/>
      <c r="X424" s="15"/>
      <c r="Y424" s="15"/>
      <c r="Z424" s="15"/>
      <c r="AA424" s="15"/>
      <c r="AB424" s="15"/>
      <c r="AC424" s="15"/>
      <c r="AD424" s="15"/>
    </row>
    <row r="425" spans="20:30" x14ac:dyDescent="0.25">
      <c r="T425" s="15"/>
      <c r="U425" s="15"/>
      <c r="V425" s="15"/>
      <c r="W425" s="15"/>
      <c r="X425" s="15"/>
      <c r="Y425" s="15"/>
      <c r="Z425" s="15"/>
      <c r="AA425" s="15"/>
      <c r="AB425" s="15"/>
      <c r="AC425" s="15"/>
      <c r="AD425" s="15"/>
    </row>
    <row r="426" spans="20:30" x14ac:dyDescent="0.25">
      <c r="T426" s="15"/>
      <c r="U426" s="15"/>
      <c r="V426" s="15"/>
      <c r="W426" s="15"/>
      <c r="X426" s="15"/>
      <c r="Y426" s="15"/>
      <c r="Z426" s="15"/>
      <c r="AA426" s="15"/>
      <c r="AB426" s="15"/>
      <c r="AC426" s="15"/>
      <c r="AD426" s="15"/>
    </row>
    <row r="427" spans="20:30" x14ac:dyDescent="0.25">
      <c r="T427" s="15"/>
      <c r="U427" s="15"/>
      <c r="V427" s="15"/>
      <c r="W427" s="15"/>
      <c r="X427" s="15"/>
      <c r="Y427" s="15"/>
      <c r="Z427" s="15"/>
      <c r="AA427" s="15"/>
      <c r="AB427" s="15"/>
      <c r="AC427" s="15"/>
      <c r="AD427" s="15"/>
    </row>
    <row r="428" spans="20:30" x14ac:dyDescent="0.25">
      <c r="T428" s="15"/>
      <c r="U428" s="15"/>
      <c r="V428" s="15"/>
      <c r="W428" s="15"/>
      <c r="X428" s="15"/>
      <c r="Y428" s="15"/>
      <c r="Z428" s="15"/>
      <c r="AA428" s="15"/>
      <c r="AB428" s="15"/>
      <c r="AC428" s="15"/>
      <c r="AD428" s="15"/>
    </row>
    <row r="429" spans="20:30" x14ac:dyDescent="0.25">
      <c r="T429" s="15"/>
      <c r="U429" s="15"/>
      <c r="V429" s="15"/>
      <c r="W429" s="15"/>
      <c r="X429" s="15"/>
      <c r="Y429" s="15"/>
      <c r="Z429" s="15"/>
      <c r="AA429" s="15"/>
      <c r="AB429" s="15"/>
      <c r="AC429" s="15"/>
      <c r="AD429" s="15"/>
    </row>
    <row r="430" spans="20:30" x14ac:dyDescent="0.25">
      <c r="T430" s="15"/>
      <c r="U430" s="15"/>
      <c r="V430" s="15"/>
      <c r="W430" s="15"/>
      <c r="X430" s="15"/>
      <c r="Y430" s="15"/>
      <c r="Z430" s="15"/>
      <c r="AA430" s="15"/>
      <c r="AB430" s="15"/>
      <c r="AC430" s="15"/>
      <c r="AD430" s="15"/>
    </row>
    <row r="431" spans="20:30" x14ac:dyDescent="0.25">
      <c r="T431" s="15"/>
      <c r="U431" s="15"/>
      <c r="V431" s="15"/>
      <c r="W431" s="15"/>
      <c r="X431" s="15"/>
      <c r="Y431" s="15"/>
      <c r="Z431" s="15"/>
      <c r="AA431" s="15"/>
      <c r="AB431" s="15"/>
      <c r="AC431" s="15"/>
      <c r="AD431" s="15"/>
    </row>
    <row r="432" spans="20:30" x14ac:dyDescent="0.25">
      <c r="T432" s="15"/>
      <c r="U432" s="15"/>
      <c r="V432" s="15"/>
      <c r="W432" s="15"/>
      <c r="X432" s="15"/>
      <c r="Y432" s="15"/>
      <c r="Z432" s="15"/>
      <c r="AA432" s="15"/>
      <c r="AB432" s="15"/>
      <c r="AC432" s="15"/>
      <c r="AD432" s="15"/>
    </row>
    <row r="433" spans="20:30" x14ac:dyDescent="0.25">
      <c r="T433" s="15"/>
      <c r="U433" s="15"/>
      <c r="V433" s="15"/>
      <c r="W433" s="15"/>
      <c r="X433" s="15"/>
      <c r="Y433" s="15"/>
      <c r="Z433" s="15"/>
      <c r="AA433" s="15"/>
      <c r="AB433" s="15"/>
      <c r="AC433" s="15"/>
      <c r="AD433" s="15"/>
    </row>
    <row r="434" spans="20:30" x14ac:dyDescent="0.25">
      <c r="T434" s="15"/>
      <c r="U434" s="15"/>
      <c r="V434" s="15"/>
      <c r="W434" s="15"/>
      <c r="X434" s="15"/>
      <c r="Y434" s="15"/>
      <c r="Z434" s="15"/>
      <c r="AA434" s="15"/>
      <c r="AB434" s="15"/>
      <c r="AC434" s="15"/>
      <c r="AD434" s="15"/>
    </row>
    <row r="435" spans="20:30" x14ac:dyDescent="0.25">
      <c r="T435" s="15"/>
      <c r="U435" s="15"/>
      <c r="V435" s="15"/>
      <c r="W435" s="15"/>
      <c r="X435" s="15"/>
      <c r="Y435" s="15"/>
      <c r="Z435" s="15"/>
      <c r="AA435" s="15"/>
      <c r="AB435" s="15"/>
      <c r="AC435" s="15"/>
      <c r="AD435" s="15"/>
    </row>
    <row r="436" spans="20:30" x14ac:dyDescent="0.25">
      <c r="T436" s="15"/>
      <c r="U436" s="15"/>
      <c r="V436" s="15"/>
      <c r="W436" s="15"/>
      <c r="X436" s="15"/>
      <c r="Y436" s="15"/>
      <c r="Z436" s="15"/>
      <c r="AA436" s="15"/>
      <c r="AB436" s="15"/>
      <c r="AC436" s="15"/>
      <c r="AD436" s="15"/>
    </row>
    <row r="437" spans="20:30" x14ac:dyDescent="0.25">
      <c r="T437" s="15"/>
      <c r="U437" s="15"/>
      <c r="V437" s="15"/>
      <c r="W437" s="15"/>
      <c r="X437" s="15"/>
      <c r="Y437" s="15"/>
      <c r="Z437" s="15"/>
      <c r="AA437" s="15"/>
      <c r="AB437" s="15"/>
      <c r="AC437" s="15"/>
      <c r="AD437" s="15"/>
    </row>
    <row r="438" spans="20:30" x14ac:dyDescent="0.25">
      <c r="T438" s="15"/>
      <c r="U438" s="15"/>
      <c r="V438" s="15"/>
      <c r="W438" s="15"/>
      <c r="X438" s="15"/>
      <c r="Y438" s="15"/>
      <c r="Z438" s="15"/>
      <c r="AA438" s="15"/>
      <c r="AB438" s="15"/>
      <c r="AC438" s="15"/>
      <c r="AD438" s="15"/>
    </row>
    <row r="439" spans="20:30" x14ac:dyDescent="0.25">
      <c r="T439" s="15"/>
      <c r="U439" s="15"/>
      <c r="V439" s="15"/>
      <c r="W439" s="15"/>
      <c r="X439" s="15"/>
      <c r="Y439" s="15"/>
      <c r="Z439" s="15"/>
      <c r="AA439" s="15"/>
      <c r="AB439" s="15"/>
      <c r="AC439" s="15"/>
      <c r="AD439" s="15"/>
    </row>
    <row r="440" spans="20:30" x14ac:dyDescent="0.25">
      <c r="T440" s="15"/>
      <c r="U440" s="15"/>
      <c r="V440" s="15"/>
      <c r="W440" s="15"/>
      <c r="X440" s="15"/>
      <c r="Y440" s="15"/>
      <c r="Z440" s="15"/>
      <c r="AA440" s="15"/>
      <c r="AB440" s="15"/>
      <c r="AC440" s="15"/>
      <c r="AD440" s="15"/>
    </row>
    <row r="441" spans="20:30" x14ac:dyDescent="0.25">
      <c r="T441" s="15"/>
      <c r="U441" s="15"/>
      <c r="V441" s="15"/>
      <c r="W441" s="15"/>
      <c r="X441" s="15"/>
      <c r="Y441" s="15"/>
      <c r="Z441" s="15"/>
      <c r="AA441" s="15"/>
      <c r="AB441" s="15"/>
      <c r="AC441" s="15"/>
      <c r="AD441" s="15"/>
    </row>
    <row r="442" spans="20:30" x14ac:dyDescent="0.25">
      <c r="T442" s="15"/>
      <c r="U442" s="15"/>
      <c r="V442" s="15"/>
      <c r="W442" s="15"/>
      <c r="X442" s="15"/>
      <c r="Y442" s="15"/>
      <c r="Z442" s="15"/>
      <c r="AA442" s="15"/>
      <c r="AB442" s="15"/>
      <c r="AC442" s="15"/>
      <c r="AD442" s="15"/>
    </row>
    <row r="443" spans="20:30" x14ac:dyDescent="0.25">
      <c r="T443" s="15"/>
      <c r="U443" s="15"/>
      <c r="V443" s="15"/>
      <c r="W443" s="15"/>
      <c r="X443" s="15"/>
      <c r="Y443" s="15"/>
      <c r="Z443" s="15"/>
      <c r="AA443" s="15"/>
      <c r="AB443" s="15"/>
      <c r="AC443" s="15"/>
      <c r="AD443" s="15"/>
    </row>
    <row r="444" spans="20:30" x14ac:dyDescent="0.25">
      <c r="T444" s="15"/>
      <c r="U444" s="15"/>
      <c r="V444" s="15"/>
      <c r="W444" s="15"/>
      <c r="X444" s="15"/>
      <c r="Y444" s="15"/>
      <c r="Z444" s="15"/>
      <c r="AA444" s="15"/>
      <c r="AB444" s="15"/>
      <c r="AC444" s="15"/>
      <c r="AD444" s="15"/>
    </row>
    <row r="445" spans="20:30" x14ac:dyDescent="0.25">
      <c r="T445" s="15"/>
      <c r="U445" s="15"/>
      <c r="V445" s="15"/>
      <c r="W445" s="15"/>
      <c r="X445" s="15"/>
      <c r="Y445" s="15"/>
      <c r="Z445" s="15"/>
      <c r="AA445" s="15"/>
      <c r="AB445" s="15"/>
      <c r="AC445" s="15"/>
      <c r="AD445" s="15"/>
    </row>
    <row r="446" spans="20:30" x14ac:dyDescent="0.25">
      <c r="T446" s="15"/>
      <c r="U446" s="15"/>
      <c r="V446" s="15"/>
      <c r="W446" s="15"/>
      <c r="X446" s="15"/>
      <c r="Y446" s="15"/>
      <c r="Z446" s="15"/>
      <c r="AA446" s="15"/>
      <c r="AB446" s="15"/>
      <c r="AC446" s="15"/>
      <c r="AD446" s="15"/>
    </row>
    <row r="447" spans="20:30" x14ac:dyDescent="0.25">
      <c r="T447" s="15"/>
      <c r="U447" s="15"/>
      <c r="V447" s="15"/>
      <c r="W447" s="15"/>
      <c r="X447" s="15"/>
      <c r="Y447" s="15"/>
      <c r="Z447" s="15"/>
      <c r="AA447" s="15"/>
      <c r="AB447" s="15"/>
      <c r="AC447" s="15"/>
      <c r="AD447" s="15"/>
    </row>
    <row r="448" spans="20:30" x14ac:dyDescent="0.25">
      <c r="T448" s="15"/>
      <c r="U448" s="15"/>
      <c r="V448" s="15"/>
      <c r="W448" s="15"/>
      <c r="X448" s="15"/>
      <c r="Y448" s="15"/>
      <c r="Z448" s="15"/>
      <c r="AA448" s="15"/>
      <c r="AB448" s="15"/>
      <c r="AC448" s="15"/>
      <c r="AD448" s="15"/>
    </row>
    <row r="449" spans="20:30" x14ac:dyDescent="0.25">
      <c r="T449" s="15"/>
      <c r="U449" s="15"/>
      <c r="V449" s="15"/>
      <c r="W449" s="15"/>
      <c r="X449" s="15"/>
      <c r="Y449" s="15"/>
      <c r="Z449" s="15"/>
      <c r="AA449" s="15"/>
      <c r="AB449" s="15"/>
      <c r="AC449" s="15"/>
      <c r="AD449" s="15"/>
    </row>
    <row r="450" spans="20:30" x14ac:dyDescent="0.25">
      <c r="T450" s="15"/>
      <c r="U450" s="15"/>
      <c r="V450" s="15"/>
      <c r="W450" s="15"/>
      <c r="X450" s="15"/>
      <c r="Y450" s="15"/>
      <c r="Z450" s="15"/>
      <c r="AA450" s="15"/>
      <c r="AB450" s="15"/>
      <c r="AC450" s="15"/>
      <c r="AD450" s="15"/>
    </row>
    <row r="451" spans="20:30" x14ac:dyDescent="0.25">
      <c r="T451" s="15"/>
      <c r="U451" s="15"/>
      <c r="V451" s="15"/>
      <c r="W451" s="15"/>
      <c r="X451" s="15"/>
      <c r="Y451" s="15"/>
      <c r="Z451" s="15"/>
      <c r="AA451" s="15"/>
      <c r="AB451" s="15"/>
      <c r="AC451" s="15"/>
      <c r="AD451" s="15"/>
    </row>
    <row r="452" spans="20:30" x14ac:dyDescent="0.25">
      <c r="T452" s="15"/>
      <c r="U452" s="15"/>
      <c r="V452" s="15"/>
      <c r="W452" s="15"/>
      <c r="X452" s="15"/>
      <c r="Y452" s="15"/>
      <c r="Z452" s="15"/>
      <c r="AA452" s="15"/>
      <c r="AB452" s="15"/>
      <c r="AC452" s="15"/>
      <c r="AD452" s="15"/>
    </row>
    <row r="453" spans="20:30" x14ac:dyDescent="0.25">
      <c r="T453" s="15"/>
      <c r="U453" s="15"/>
      <c r="V453" s="15"/>
      <c r="W453" s="15"/>
      <c r="X453" s="15"/>
      <c r="Y453" s="15"/>
      <c r="Z453" s="15"/>
      <c r="AA453" s="15"/>
      <c r="AB453" s="15"/>
      <c r="AC453" s="15"/>
      <c r="AD453" s="15"/>
    </row>
    <row r="454" spans="20:30" x14ac:dyDescent="0.25">
      <c r="T454" s="15"/>
      <c r="U454" s="15"/>
      <c r="V454" s="15"/>
      <c r="W454" s="15"/>
      <c r="X454" s="15"/>
      <c r="Y454" s="15"/>
      <c r="Z454" s="15"/>
      <c r="AA454" s="15"/>
      <c r="AB454" s="15"/>
      <c r="AC454" s="15"/>
      <c r="AD454" s="15"/>
    </row>
    <row r="455" spans="20:30" x14ac:dyDescent="0.25">
      <c r="T455" s="15"/>
      <c r="U455" s="15"/>
      <c r="V455" s="15"/>
      <c r="W455" s="15"/>
      <c r="X455" s="15"/>
      <c r="Y455" s="15"/>
      <c r="Z455" s="15"/>
      <c r="AA455" s="15"/>
      <c r="AB455" s="15"/>
      <c r="AC455" s="15"/>
      <c r="AD455" s="15"/>
    </row>
    <row r="456" spans="20:30" x14ac:dyDescent="0.25">
      <c r="T456" s="15"/>
      <c r="U456" s="15"/>
      <c r="V456" s="15"/>
      <c r="W456" s="15"/>
      <c r="X456" s="15"/>
      <c r="Y456" s="15"/>
      <c r="Z456" s="15"/>
      <c r="AA456" s="15"/>
      <c r="AB456" s="15"/>
      <c r="AC456" s="15"/>
      <c r="AD456" s="15"/>
    </row>
    <row r="457" spans="20:30" x14ac:dyDescent="0.25">
      <c r="T457" s="15"/>
      <c r="U457" s="15"/>
      <c r="V457" s="15"/>
      <c r="W457" s="15"/>
      <c r="X457" s="15"/>
      <c r="Y457" s="15"/>
      <c r="Z457" s="15"/>
      <c r="AA457" s="15"/>
      <c r="AB457" s="15"/>
      <c r="AC457" s="15"/>
      <c r="AD457" s="15"/>
    </row>
    <row r="458" spans="20:30" x14ac:dyDescent="0.25">
      <c r="T458" s="15"/>
      <c r="U458" s="15"/>
      <c r="V458" s="15"/>
      <c r="W458" s="15"/>
      <c r="X458" s="15"/>
      <c r="Y458" s="15"/>
      <c r="Z458" s="15"/>
      <c r="AA458" s="15"/>
      <c r="AB458" s="15"/>
      <c r="AC458" s="15"/>
      <c r="AD458" s="15"/>
    </row>
    <row r="459" spans="20:30" x14ac:dyDescent="0.25">
      <c r="T459" s="15"/>
      <c r="U459" s="15"/>
      <c r="V459" s="15"/>
      <c r="W459" s="15"/>
      <c r="X459" s="15"/>
      <c r="Y459" s="15"/>
      <c r="Z459" s="15"/>
      <c r="AA459" s="15"/>
      <c r="AB459" s="15"/>
      <c r="AC459" s="15"/>
      <c r="AD459" s="15"/>
    </row>
    <row r="460" spans="20:30" x14ac:dyDescent="0.25">
      <c r="T460" s="15"/>
      <c r="U460" s="15"/>
      <c r="V460" s="15"/>
      <c r="W460" s="15"/>
      <c r="X460" s="15"/>
      <c r="Y460" s="15"/>
      <c r="Z460" s="15"/>
      <c r="AA460" s="15"/>
      <c r="AB460" s="15"/>
      <c r="AC460" s="15"/>
      <c r="AD460" s="15"/>
    </row>
    <row r="461" spans="20:30" x14ac:dyDescent="0.25">
      <c r="T461" s="15"/>
      <c r="U461" s="15"/>
      <c r="V461" s="15"/>
      <c r="W461" s="15"/>
      <c r="X461" s="15"/>
      <c r="Y461" s="15"/>
      <c r="Z461" s="15"/>
      <c r="AA461" s="15"/>
      <c r="AB461" s="15"/>
      <c r="AC461" s="15"/>
      <c r="AD461" s="15"/>
    </row>
    <row r="462" spans="20:30" x14ac:dyDescent="0.25">
      <c r="T462" s="15"/>
      <c r="U462" s="15"/>
      <c r="V462" s="15"/>
      <c r="W462" s="15"/>
      <c r="X462" s="15"/>
      <c r="Y462" s="15"/>
      <c r="Z462" s="15"/>
      <c r="AA462" s="15"/>
      <c r="AB462" s="15"/>
      <c r="AC462" s="15"/>
      <c r="AD462" s="15"/>
    </row>
    <row r="463" spans="20:30" x14ac:dyDescent="0.25">
      <c r="T463" s="15"/>
      <c r="U463" s="15"/>
      <c r="V463" s="15"/>
      <c r="W463" s="15"/>
      <c r="X463" s="15"/>
      <c r="Y463" s="15"/>
      <c r="Z463" s="15"/>
      <c r="AA463" s="15"/>
      <c r="AB463" s="15"/>
      <c r="AC463" s="15"/>
      <c r="AD463" s="15"/>
    </row>
    <row r="464" spans="20:30" x14ac:dyDescent="0.25">
      <c r="T464" s="15"/>
      <c r="U464" s="15"/>
      <c r="V464" s="15"/>
      <c r="W464" s="15"/>
      <c r="X464" s="15"/>
      <c r="Y464" s="15"/>
      <c r="Z464" s="15"/>
      <c r="AA464" s="15"/>
      <c r="AB464" s="15"/>
      <c r="AC464" s="15"/>
      <c r="AD464" s="15"/>
    </row>
    <row r="465" spans="20:30" x14ac:dyDescent="0.25">
      <c r="T465" s="15"/>
      <c r="U465" s="15"/>
      <c r="V465" s="15"/>
      <c r="W465" s="15"/>
      <c r="X465" s="15"/>
      <c r="Y465" s="15"/>
      <c r="Z465" s="15"/>
      <c r="AA465" s="15"/>
      <c r="AB465" s="15"/>
      <c r="AC465" s="15"/>
      <c r="AD465" s="15"/>
    </row>
    <row r="466" spans="20:30" x14ac:dyDescent="0.25">
      <c r="T466" s="15"/>
      <c r="U466" s="15"/>
      <c r="V466" s="15"/>
      <c r="W466" s="15"/>
      <c r="X466" s="15"/>
      <c r="Y466" s="15"/>
      <c r="Z466" s="15"/>
      <c r="AA466" s="15"/>
      <c r="AB466" s="15"/>
      <c r="AC466" s="15"/>
      <c r="AD466" s="15"/>
    </row>
    <row r="467" spans="20:30" x14ac:dyDescent="0.25">
      <c r="T467" s="15"/>
      <c r="U467" s="15"/>
      <c r="V467" s="15"/>
      <c r="W467" s="15"/>
      <c r="X467" s="15"/>
      <c r="Y467" s="15"/>
      <c r="Z467" s="15"/>
      <c r="AA467" s="15"/>
      <c r="AB467" s="15"/>
      <c r="AC467" s="15"/>
      <c r="AD467" s="15"/>
    </row>
    <row r="468" spans="20:30" x14ac:dyDescent="0.25">
      <c r="T468" s="15"/>
      <c r="U468" s="15"/>
      <c r="V468" s="15"/>
      <c r="W468" s="15"/>
      <c r="X468" s="15"/>
      <c r="Y468" s="15"/>
      <c r="Z468" s="15"/>
      <c r="AA468" s="15"/>
      <c r="AB468" s="15"/>
      <c r="AC468" s="15"/>
      <c r="AD468" s="15"/>
    </row>
    <row r="469" spans="20:30" x14ac:dyDescent="0.25">
      <c r="T469" s="15"/>
      <c r="U469" s="15"/>
      <c r="V469" s="15"/>
      <c r="W469" s="15"/>
      <c r="X469" s="15"/>
      <c r="Y469" s="15"/>
      <c r="Z469" s="15"/>
      <c r="AA469" s="15"/>
      <c r="AB469" s="15"/>
      <c r="AC469" s="15"/>
      <c r="AD469" s="15"/>
    </row>
    <row r="470" spans="20:30" x14ac:dyDescent="0.25">
      <c r="T470" s="15"/>
      <c r="U470" s="15"/>
      <c r="V470" s="15"/>
      <c r="W470" s="15"/>
      <c r="X470" s="15"/>
      <c r="Y470" s="15"/>
      <c r="Z470" s="15"/>
      <c r="AA470" s="15"/>
      <c r="AB470" s="15"/>
      <c r="AC470" s="15"/>
      <c r="AD470" s="15"/>
    </row>
    <row r="471" spans="20:30" x14ac:dyDescent="0.25">
      <c r="T471" s="15"/>
      <c r="U471" s="15"/>
      <c r="V471" s="15"/>
      <c r="W471" s="15"/>
      <c r="X471" s="15"/>
      <c r="Y471" s="15"/>
      <c r="Z471" s="15"/>
      <c r="AA471" s="15"/>
      <c r="AB471" s="15"/>
      <c r="AC471" s="15"/>
      <c r="AD471" s="15"/>
    </row>
    <row r="472" spans="20:30" x14ac:dyDescent="0.25">
      <c r="T472" s="15"/>
      <c r="U472" s="15"/>
      <c r="V472" s="15"/>
      <c r="W472" s="15"/>
      <c r="X472" s="15"/>
      <c r="Y472" s="15"/>
      <c r="Z472" s="15"/>
      <c r="AA472" s="15"/>
      <c r="AB472" s="15"/>
      <c r="AC472" s="15"/>
      <c r="AD472" s="15"/>
    </row>
    <row r="473" spans="20:30" x14ac:dyDescent="0.25">
      <c r="T473" s="15"/>
      <c r="U473" s="15"/>
      <c r="V473" s="15"/>
      <c r="W473" s="15"/>
      <c r="X473" s="15"/>
      <c r="Y473" s="15"/>
      <c r="Z473" s="15"/>
      <c r="AA473" s="15"/>
      <c r="AB473" s="15"/>
      <c r="AC473" s="15"/>
      <c r="AD473" s="15"/>
    </row>
    <row r="474" spans="20:30" x14ac:dyDescent="0.25">
      <c r="T474" s="15"/>
      <c r="U474" s="15"/>
      <c r="V474" s="15"/>
      <c r="W474" s="15"/>
      <c r="X474" s="15"/>
      <c r="Y474" s="15"/>
      <c r="Z474" s="15"/>
      <c r="AA474" s="15"/>
      <c r="AB474" s="15"/>
      <c r="AC474" s="15"/>
      <c r="AD474" s="15"/>
    </row>
    <row r="475" spans="20:30" x14ac:dyDescent="0.25">
      <c r="T475" s="15"/>
      <c r="U475" s="15"/>
      <c r="V475" s="15"/>
      <c r="W475" s="15"/>
      <c r="X475" s="15"/>
      <c r="Y475" s="15"/>
      <c r="Z475" s="15"/>
      <c r="AA475" s="15"/>
      <c r="AB475" s="15"/>
      <c r="AC475" s="15"/>
      <c r="AD475" s="15"/>
    </row>
    <row r="476" spans="20:30" x14ac:dyDescent="0.25">
      <c r="T476" s="15"/>
      <c r="U476" s="15"/>
      <c r="V476" s="15"/>
      <c r="W476" s="15"/>
      <c r="X476" s="15"/>
      <c r="Y476" s="15"/>
      <c r="Z476" s="15"/>
      <c r="AA476" s="15"/>
      <c r="AB476" s="15"/>
      <c r="AC476" s="15"/>
      <c r="AD476" s="15"/>
    </row>
    <row r="477" spans="20:30" x14ac:dyDescent="0.25">
      <c r="T477" s="15"/>
      <c r="U477" s="15"/>
      <c r="V477" s="15"/>
      <c r="W477" s="15"/>
      <c r="X477" s="15"/>
      <c r="Y477" s="15"/>
      <c r="Z477" s="15"/>
      <c r="AA477" s="15"/>
      <c r="AB477" s="15"/>
      <c r="AC477" s="15"/>
      <c r="AD477" s="15"/>
    </row>
    <row r="478" spans="20:30" x14ac:dyDescent="0.25">
      <c r="T478" s="15"/>
      <c r="U478" s="15"/>
      <c r="V478" s="15"/>
      <c r="W478" s="15"/>
      <c r="X478" s="15"/>
      <c r="Y478" s="15"/>
      <c r="Z478" s="15"/>
      <c r="AA478" s="15"/>
      <c r="AB478" s="15"/>
      <c r="AC478" s="15"/>
      <c r="AD478" s="15"/>
    </row>
    <row r="479" spans="20:30" x14ac:dyDescent="0.25">
      <c r="T479" s="15"/>
      <c r="U479" s="15"/>
      <c r="V479" s="15"/>
      <c r="W479" s="15"/>
      <c r="X479" s="15"/>
      <c r="Y479" s="15"/>
      <c r="Z479" s="15"/>
      <c r="AA479" s="15"/>
      <c r="AB479" s="15"/>
      <c r="AC479" s="15"/>
      <c r="AD479" s="15"/>
    </row>
    <row r="480" spans="20:30" x14ac:dyDescent="0.25">
      <c r="T480" s="15"/>
      <c r="U480" s="15"/>
      <c r="V480" s="15"/>
      <c r="W480" s="15"/>
      <c r="X480" s="15"/>
      <c r="Y480" s="15"/>
      <c r="Z480" s="15"/>
      <c r="AA480" s="15"/>
      <c r="AB480" s="15"/>
      <c r="AC480" s="15"/>
      <c r="AD480" s="15"/>
    </row>
    <row r="481" spans="20:30" x14ac:dyDescent="0.25">
      <c r="T481" s="15"/>
      <c r="U481" s="15"/>
      <c r="V481" s="15"/>
      <c r="W481" s="15"/>
      <c r="X481" s="15"/>
      <c r="Y481" s="15"/>
      <c r="Z481" s="15"/>
      <c r="AA481" s="15"/>
      <c r="AB481" s="15"/>
      <c r="AC481" s="15"/>
      <c r="AD481" s="15"/>
    </row>
    <row r="482" spans="20:30" x14ac:dyDescent="0.25">
      <c r="T482" s="15"/>
      <c r="U482" s="15"/>
      <c r="V482" s="15"/>
      <c r="W482" s="15"/>
      <c r="X482" s="15"/>
      <c r="Y482" s="15"/>
      <c r="Z482" s="15"/>
      <c r="AA482" s="15"/>
      <c r="AB482" s="15"/>
      <c r="AC482" s="15"/>
      <c r="AD482" s="15"/>
    </row>
    <row r="483" spans="20:30" x14ac:dyDescent="0.25">
      <c r="T483" s="15"/>
      <c r="U483" s="15"/>
      <c r="V483" s="15"/>
      <c r="W483" s="15"/>
      <c r="X483" s="15"/>
      <c r="Y483" s="15"/>
      <c r="Z483" s="15"/>
      <c r="AA483" s="15"/>
      <c r="AB483" s="15"/>
      <c r="AC483" s="15"/>
      <c r="AD483" s="15"/>
    </row>
    <row r="484" spans="20:30" x14ac:dyDescent="0.25">
      <c r="T484" s="15"/>
      <c r="U484" s="15"/>
      <c r="V484" s="15"/>
      <c r="W484" s="15"/>
      <c r="X484" s="15"/>
      <c r="Y484" s="15"/>
      <c r="Z484" s="15"/>
      <c r="AA484" s="15"/>
      <c r="AB484" s="15"/>
      <c r="AC484" s="15"/>
      <c r="AD484" s="15"/>
    </row>
    <row r="485" spans="20:30" x14ac:dyDescent="0.25">
      <c r="T485" s="15"/>
      <c r="U485" s="15"/>
      <c r="V485" s="15"/>
      <c r="W485" s="15"/>
      <c r="X485" s="15"/>
      <c r="Y485" s="15"/>
      <c r="Z485" s="15"/>
      <c r="AA485" s="15"/>
      <c r="AB485" s="15"/>
      <c r="AC485" s="15"/>
      <c r="AD485" s="15"/>
    </row>
    <row r="486" spans="20:30" x14ac:dyDescent="0.25">
      <c r="T486" s="15"/>
      <c r="U486" s="15"/>
      <c r="V486" s="15"/>
      <c r="W486" s="15"/>
      <c r="X486" s="15"/>
      <c r="Y486" s="15"/>
      <c r="Z486" s="15"/>
      <c r="AA486" s="15"/>
      <c r="AB486" s="15"/>
      <c r="AC486" s="15"/>
      <c r="AD486" s="15"/>
    </row>
    <row r="487" spans="20:30" x14ac:dyDescent="0.25">
      <c r="T487" s="15"/>
      <c r="U487" s="15"/>
      <c r="V487" s="15"/>
      <c r="W487" s="15"/>
      <c r="X487" s="15"/>
      <c r="Y487" s="15"/>
      <c r="Z487" s="15"/>
      <c r="AA487" s="15"/>
      <c r="AB487" s="15"/>
      <c r="AC487" s="15"/>
      <c r="AD487" s="15"/>
    </row>
    <row r="488" spans="20:30" x14ac:dyDescent="0.25">
      <c r="T488" s="15"/>
      <c r="U488" s="15"/>
      <c r="V488" s="15"/>
      <c r="W488" s="15"/>
      <c r="X488" s="15"/>
      <c r="Y488" s="15"/>
      <c r="Z488" s="15"/>
      <c r="AA488" s="15"/>
      <c r="AB488" s="15"/>
      <c r="AC488" s="15"/>
      <c r="AD488" s="15"/>
    </row>
    <row r="489" spans="20:30" x14ac:dyDescent="0.25">
      <c r="T489" s="15"/>
      <c r="U489" s="15"/>
      <c r="V489" s="15"/>
      <c r="W489" s="15"/>
      <c r="X489" s="15"/>
      <c r="Y489" s="15"/>
      <c r="Z489" s="15"/>
      <c r="AA489" s="15"/>
      <c r="AB489" s="15"/>
      <c r="AC489" s="15"/>
      <c r="AD489" s="15"/>
    </row>
    <row r="490" spans="20:30" x14ac:dyDescent="0.25">
      <c r="T490" s="15"/>
      <c r="U490" s="15"/>
      <c r="V490" s="15"/>
      <c r="W490" s="15"/>
      <c r="X490" s="15"/>
      <c r="Y490" s="15"/>
      <c r="Z490" s="15"/>
      <c r="AA490" s="15"/>
      <c r="AB490" s="15"/>
      <c r="AC490" s="15"/>
      <c r="AD490" s="15"/>
    </row>
    <row r="491" spans="20:30" x14ac:dyDescent="0.25">
      <c r="T491" s="15"/>
      <c r="U491" s="15"/>
      <c r="V491" s="15"/>
      <c r="W491" s="15"/>
      <c r="X491" s="15"/>
      <c r="Y491" s="15"/>
      <c r="Z491" s="15"/>
      <c r="AA491" s="15"/>
      <c r="AB491" s="15"/>
      <c r="AC491" s="15"/>
      <c r="AD491" s="15"/>
    </row>
    <row r="492" spans="20:30" x14ac:dyDescent="0.25">
      <c r="T492" s="15"/>
      <c r="U492" s="15"/>
      <c r="V492" s="15"/>
      <c r="W492" s="15"/>
      <c r="X492" s="15"/>
      <c r="Y492" s="15"/>
      <c r="Z492" s="15"/>
      <c r="AA492" s="15"/>
      <c r="AB492" s="15"/>
      <c r="AC492" s="15"/>
      <c r="AD492" s="15"/>
    </row>
    <row r="493" spans="20:30" x14ac:dyDescent="0.25">
      <c r="T493" s="15"/>
      <c r="U493" s="15"/>
      <c r="V493" s="15"/>
      <c r="W493" s="15"/>
      <c r="X493" s="15"/>
      <c r="Y493" s="15"/>
      <c r="Z493" s="15"/>
      <c r="AA493" s="15"/>
      <c r="AB493" s="15"/>
      <c r="AC493" s="15"/>
      <c r="AD493" s="15"/>
    </row>
    <row r="494" spans="20:30" x14ac:dyDescent="0.25">
      <c r="T494" s="15"/>
      <c r="U494" s="15"/>
      <c r="V494" s="15"/>
      <c r="W494" s="15"/>
      <c r="X494" s="15"/>
      <c r="Y494" s="15"/>
      <c r="Z494" s="15"/>
      <c r="AA494" s="15"/>
      <c r="AB494" s="15"/>
      <c r="AC494" s="15"/>
      <c r="AD494" s="15"/>
    </row>
    <row r="495" spans="20:30" x14ac:dyDescent="0.25">
      <c r="T495" s="15"/>
      <c r="U495" s="15"/>
      <c r="V495" s="15"/>
      <c r="W495" s="15"/>
      <c r="X495" s="15"/>
      <c r="Y495" s="15"/>
      <c r="Z495" s="15"/>
      <c r="AA495" s="15"/>
      <c r="AB495" s="15"/>
      <c r="AC495" s="15"/>
      <c r="AD495" s="15"/>
    </row>
    <row r="496" spans="20:30" x14ac:dyDescent="0.25">
      <c r="T496" s="15"/>
      <c r="U496" s="15"/>
      <c r="V496" s="15"/>
      <c r="W496" s="15"/>
      <c r="X496" s="15"/>
      <c r="Y496" s="15"/>
      <c r="Z496" s="15"/>
      <c r="AA496" s="15"/>
      <c r="AB496" s="15"/>
      <c r="AC496" s="15"/>
      <c r="AD496" s="15"/>
    </row>
    <row r="497" spans="20:30" x14ac:dyDescent="0.25">
      <c r="T497" s="15"/>
      <c r="U497" s="15"/>
      <c r="V497" s="15"/>
      <c r="W497" s="15"/>
      <c r="X497" s="15"/>
      <c r="Y497" s="15"/>
      <c r="Z497" s="15"/>
      <c r="AA497" s="15"/>
      <c r="AB497" s="15"/>
      <c r="AC497" s="15"/>
      <c r="AD497" s="15"/>
    </row>
    <row r="498" spans="20:30" x14ac:dyDescent="0.25">
      <c r="T498" s="15"/>
      <c r="U498" s="15"/>
      <c r="V498" s="15"/>
      <c r="W498" s="15"/>
      <c r="X498" s="15"/>
      <c r="Y498" s="15"/>
      <c r="Z498" s="15"/>
      <c r="AA498" s="15"/>
      <c r="AB498" s="15"/>
      <c r="AC498" s="15"/>
      <c r="AD498" s="15"/>
    </row>
    <row r="499" spans="20:30" x14ac:dyDescent="0.25">
      <c r="T499" s="15"/>
      <c r="U499" s="15"/>
      <c r="V499" s="15"/>
      <c r="W499" s="15"/>
      <c r="X499" s="15"/>
      <c r="Y499" s="15"/>
      <c r="Z499" s="15"/>
      <c r="AA499" s="15"/>
      <c r="AB499" s="15"/>
      <c r="AC499" s="15"/>
      <c r="AD499" s="15"/>
    </row>
    <row r="500" spans="20:30" x14ac:dyDescent="0.25">
      <c r="T500" s="15"/>
      <c r="U500" s="15"/>
      <c r="V500" s="15"/>
      <c r="W500" s="15"/>
      <c r="X500" s="15"/>
      <c r="Y500" s="15"/>
      <c r="Z500" s="15"/>
      <c r="AA500" s="15"/>
      <c r="AB500" s="15"/>
      <c r="AC500" s="15"/>
      <c r="AD500" s="15"/>
    </row>
    <row r="501" spans="20:30" x14ac:dyDescent="0.25">
      <c r="T501" s="15"/>
      <c r="U501" s="15"/>
      <c r="V501" s="15"/>
      <c r="W501" s="15"/>
      <c r="X501" s="15"/>
      <c r="Y501" s="15"/>
      <c r="Z501" s="15"/>
      <c r="AA501" s="15"/>
      <c r="AB501" s="15"/>
      <c r="AC501" s="15"/>
      <c r="AD501" s="15"/>
    </row>
    <row r="502" spans="20:30" x14ac:dyDescent="0.25">
      <c r="T502" s="15"/>
      <c r="U502" s="15"/>
      <c r="V502" s="15"/>
      <c r="W502" s="15"/>
      <c r="X502" s="15"/>
      <c r="Y502" s="15"/>
      <c r="Z502" s="15"/>
      <c r="AA502" s="15"/>
      <c r="AB502" s="15"/>
      <c r="AC502" s="15"/>
      <c r="AD502" s="15"/>
    </row>
    <row r="503" spans="20:30" x14ac:dyDescent="0.25">
      <c r="T503" s="15"/>
      <c r="U503" s="15"/>
      <c r="V503" s="15"/>
      <c r="W503" s="15"/>
      <c r="X503" s="15"/>
      <c r="Y503" s="15"/>
      <c r="Z503" s="15"/>
      <c r="AA503" s="15"/>
      <c r="AB503" s="15"/>
      <c r="AC503" s="15"/>
      <c r="AD503" s="15"/>
    </row>
    <row r="504" spans="20:30" x14ac:dyDescent="0.25">
      <c r="T504" s="15"/>
      <c r="U504" s="15"/>
      <c r="V504" s="15"/>
      <c r="W504" s="15"/>
      <c r="X504" s="15"/>
      <c r="Y504" s="15"/>
      <c r="Z504" s="15"/>
      <c r="AA504" s="15"/>
      <c r="AB504" s="15"/>
      <c r="AC504" s="15"/>
      <c r="AD504" s="15"/>
    </row>
    <row r="505" spans="20:30" x14ac:dyDescent="0.25">
      <c r="T505" s="15"/>
      <c r="U505" s="15"/>
      <c r="V505" s="15"/>
      <c r="W505" s="15"/>
      <c r="X505" s="15"/>
      <c r="Y505" s="15"/>
      <c r="Z505" s="15"/>
      <c r="AA505" s="15"/>
      <c r="AB505" s="15"/>
      <c r="AC505" s="15"/>
      <c r="AD505" s="15"/>
    </row>
    <row r="506" spans="20:30" x14ac:dyDescent="0.25">
      <c r="T506" s="15"/>
      <c r="U506" s="15"/>
      <c r="V506" s="15"/>
      <c r="W506" s="15"/>
      <c r="X506" s="15"/>
      <c r="Y506" s="15"/>
      <c r="Z506" s="15"/>
      <c r="AA506" s="15"/>
      <c r="AB506" s="15"/>
      <c r="AC506" s="15"/>
      <c r="AD506" s="15"/>
    </row>
    <row r="507" spans="20:30" x14ac:dyDescent="0.25">
      <c r="T507" s="15"/>
      <c r="U507" s="15"/>
      <c r="V507" s="15"/>
      <c r="W507" s="15"/>
      <c r="X507" s="15"/>
      <c r="Y507" s="15"/>
      <c r="Z507" s="15"/>
      <c r="AA507" s="15"/>
      <c r="AB507" s="15"/>
      <c r="AC507" s="15"/>
      <c r="AD507" s="15"/>
    </row>
    <row r="508" spans="20:30" x14ac:dyDescent="0.25">
      <c r="T508" s="15"/>
      <c r="U508" s="15"/>
      <c r="V508" s="15"/>
      <c r="W508" s="15"/>
      <c r="X508" s="15"/>
      <c r="Y508" s="15"/>
      <c r="Z508" s="15"/>
      <c r="AA508" s="15"/>
      <c r="AB508" s="15"/>
      <c r="AC508" s="15"/>
      <c r="AD508" s="15"/>
    </row>
    <row r="509" spans="20:30" x14ac:dyDescent="0.25">
      <c r="T509" s="15"/>
      <c r="U509" s="15"/>
      <c r="V509" s="15"/>
      <c r="W509" s="15"/>
      <c r="X509" s="15"/>
      <c r="Y509" s="15"/>
      <c r="Z509" s="15"/>
      <c r="AA509" s="15"/>
      <c r="AB509" s="15"/>
      <c r="AC509" s="15"/>
      <c r="AD509" s="15"/>
    </row>
    <row r="510" spans="20:30" x14ac:dyDescent="0.25">
      <c r="T510" s="15"/>
      <c r="U510" s="15"/>
      <c r="V510" s="15"/>
      <c r="W510" s="15"/>
      <c r="X510" s="15"/>
      <c r="Y510" s="15"/>
      <c r="Z510" s="15"/>
      <c r="AA510" s="15"/>
      <c r="AB510" s="15"/>
      <c r="AC510" s="15"/>
      <c r="AD510" s="15"/>
    </row>
    <row r="511" spans="20:30" x14ac:dyDescent="0.25">
      <c r="T511" s="15"/>
      <c r="U511" s="15"/>
      <c r="V511" s="15"/>
      <c r="W511" s="15"/>
      <c r="X511" s="15"/>
      <c r="Y511" s="15"/>
      <c r="Z511" s="15"/>
      <c r="AA511" s="15"/>
      <c r="AB511" s="15"/>
      <c r="AC511" s="15"/>
      <c r="AD511" s="15"/>
    </row>
    <row r="512" spans="20:30" x14ac:dyDescent="0.25">
      <c r="T512" s="15"/>
      <c r="U512" s="15"/>
      <c r="V512" s="15"/>
      <c r="W512" s="15"/>
      <c r="X512" s="15"/>
      <c r="Y512" s="15"/>
      <c r="Z512" s="15"/>
      <c r="AA512" s="15"/>
      <c r="AB512" s="15"/>
      <c r="AC512" s="15"/>
      <c r="AD512" s="15"/>
    </row>
    <row r="513" spans="20:30" x14ac:dyDescent="0.25">
      <c r="T513" s="15"/>
      <c r="U513" s="15"/>
      <c r="V513" s="15"/>
      <c r="W513" s="15"/>
      <c r="X513" s="15"/>
      <c r="Y513" s="15"/>
      <c r="Z513" s="15"/>
      <c r="AA513" s="15"/>
      <c r="AB513" s="15"/>
      <c r="AC513" s="15"/>
      <c r="AD513" s="15"/>
    </row>
    <row r="514" spans="20:30" x14ac:dyDescent="0.25">
      <c r="T514" s="15"/>
      <c r="U514" s="15"/>
      <c r="V514" s="15"/>
      <c r="W514" s="15"/>
      <c r="X514" s="15"/>
      <c r="Y514" s="15"/>
      <c r="Z514" s="15"/>
      <c r="AA514" s="15"/>
      <c r="AB514" s="15"/>
      <c r="AC514" s="15"/>
      <c r="AD514" s="15"/>
    </row>
    <row r="515" spans="20:30" x14ac:dyDescent="0.25">
      <c r="T515" s="15"/>
      <c r="U515" s="15"/>
      <c r="V515" s="15"/>
      <c r="W515" s="15"/>
      <c r="X515" s="15"/>
      <c r="Y515" s="15"/>
      <c r="Z515" s="15"/>
      <c r="AA515" s="15"/>
      <c r="AB515" s="15"/>
      <c r="AC515" s="15"/>
      <c r="AD515" s="15"/>
    </row>
    <row r="516" spans="20:30" x14ac:dyDescent="0.25">
      <c r="T516" s="15"/>
      <c r="U516" s="15"/>
      <c r="V516" s="15"/>
      <c r="W516" s="15"/>
      <c r="X516" s="15"/>
      <c r="Y516" s="15"/>
      <c r="Z516" s="15"/>
      <c r="AA516" s="15"/>
      <c r="AB516" s="15"/>
      <c r="AC516" s="15"/>
      <c r="AD516" s="15"/>
    </row>
    <row r="517" spans="20:30" x14ac:dyDescent="0.25">
      <c r="T517" s="15"/>
      <c r="U517" s="15"/>
      <c r="V517" s="15"/>
      <c r="W517" s="15"/>
      <c r="X517" s="15"/>
      <c r="Y517" s="15"/>
      <c r="Z517" s="15"/>
      <c r="AA517" s="15"/>
      <c r="AB517" s="15"/>
      <c r="AC517" s="15"/>
      <c r="AD517" s="15"/>
    </row>
    <row r="518" spans="20:30" x14ac:dyDescent="0.25">
      <c r="T518" s="15"/>
      <c r="U518" s="15"/>
      <c r="V518" s="15"/>
      <c r="W518" s="15"/>
      <c r="X518" s="15"/>
      <c r="Y518" s="15"/>
      <c r="Z518" s="15"/>
      <c r="AA518" s="15"/>
      <c r="AB518" s="15"/>
      <c r="AC518" s="15"/>
      <c r="AD518" s="15"/>
    </row>
    <row r="519" spans="20:30" x14ac:dyDescent="0.25">
      <c r="T519" s="15"/>
      <c r="U519" s="15"/>
      <c r="V519" s="15"/>
      <c r="W519" s="15"/>
      <c r="X519" s="15"/>
      <c r="Y519" s="15"/>
      <c r="Z519" s="15"/>
      <c r="AA519" s="15"/>
      <c r="AB519" s="15"/>
      <c r="AC519" s="15"/>
      <c r="AD519" s="15"/>
    </row>
    <row r="520" spans="20:30" x14ac:dyDescent="0.25">
      <c r="T520" s="15"/>
      <c r="U520" s="15"/>
      <c r="V520" s="15"/>
      <c r="W520" s="15"/>
      <c r="X520" s="15"/>
      <c r="Y520" s="15"/>
      <c r="Z520" s="15"/>
      <c r="AA520" s="15"/>
      <c r="AB520" s="15"/>
      <c r="AC520" s="15"/>
      <c r="AD520" s="15"/>
    </row>
    <row r="521" spans="20:30" x14ac:dyDescent="0.25">
      <c r="T521" s="15"/>
      <c r="U521" s="15"/>
      <c r="V521" s="15"/>
      <c r="W521" s="15"/>
      <c r="X521" s="15"/>
      <c r="Y521" s="15"/>
      <c r="Z521" s="15"/>
      <c r="AA521" s="15"/>
      <c r="AB521" s="15"/>
      <c r="AC521" s="15"/>
      <c r="AD521" s="15"/>
    </row>
    <row r="522" spans="20:30" x14ac:dyDescent="0.25">
      <c r="T522" s="15"/>
      <c r="U522" s="15"/>
      <c r="V522" s="15"/>
      <c r="W522" s="15"/>
      <c r="X522" s="15"/>
      <c r="Y522" s="15"/>
      <c r="Z522" s="15"/>
      <c r="AA522" s="15"/>
      <c r="AB522" s="15"/>
      <c r="AC522" s="15"/>
      <c r="AD522" s="15"/>
    </row>
    <row r="523" spans="20:30" x14ac:dyDescent="0.25">
      <c r="T523" s="15"/>
      <c r="U523" s="15"/>
      <c r="V523" s="15"/>
      <c r="W523" s="15"/>
      <c r="X523" s="15"/>
      <c r="Y523" s="15"/>
      <c r="Z523" s="15"/>
      <c r="AA523" s="15"/>
      <c r="AB523" s="15"/>
      <c r="AC523" s="15"/>
      <c r="AD523" s="15"/>
    </row>
    <row r="524" spans="20:30" x14ac:dyDescent="0.25">
      <c r="T524" s="15"/>
      <c r="U524" s="15"/>
      <c r="V524" s="15"/>
      <c r="W524" s="15"/>
      <c r="X524" s="15"/>
      <c r="Y524" s="15"/>
      <c r="Z524" s="15"/>
      <c r="AA524" s="15"/>
      <c r="AB524" s="15"/>
      <c r="AC524" s="15"/>
      <c r="AD524" s="15"/>
    </row>
    <row r="525" spans="20:30" x14ac:dyDescent="0.25">
      <c r="T525" s="15"/>
      <c r="U525" s="15"/>
      <c r="V525" s="15"/>
      <c r="W525" s="15"/>
      <c r="X525" s="15"/>
      <c r="Y525" s="15"/>
      <c r="Z525" s="15"/>
      <c r="AA525" s="15"/>
      <c r="AB525" s="15"/>
      <c r="AC525" s="15"/>
      <c r="AD525" s="15"/>
    </row>
    <row r="526" spans="20:30" x14ac:dyDescent="0.25">
      <c r="T526" s="15"/>
      <c r="U526" s="15"/>
      <c r="V526" s="15"/>
      <c r="W526" s="15"/>
      <c r="X526" s="15"/>
      <c r="Y526" s="15"/>
      <c r="Z526" s="15"/>
      <c r="AA526" s="15"/>
      <c r="AB526" s="15"/>
      <c r="AC526" s="15"/>
      <c r="AD526" s="15"/>
    </row>
    <row r="527" spans="20:30" x14ac:dyDescent="0.25">
      <c r="T527" s="15"/>
      <c r="U527" s="15"/>
      <c r="V527" s="15"/>
      <c r="W527" s="15"/>
      <c r="X527" s="15"/>
      <c r="Y527" s="15"/>
      <c r="Z527" s="15"/>
      <c r="AA527" s="15"/>
      <c r="AB527" s="15"/>
      <c r="AC527" s="15"/>
      <c r="AD527" s="15"/>
    </row>
    <row r="528" spans="20:30" x14ac:dyDescent="0.25">
      <c r="T528" s="15"/>
      <c r="U528" s="15"/>
      <c r="V528" s="15"/>
      <c r="W528" s="15"/>
      <c r="X528" s="15"/>
      <c r="Y528" s="15"/>
      <c r="Z528" s="15"/>
      <c r="AA528" s="15"/>
      <c r="AB528" s="15"/>
      <c r="AC528" s="15"/>
      <c r="AD528" s="15"/>
    </row>
    <row r="529" spans="20:30" x14ac:dyDescent="0.25">
      <c r="T529" s="15"/>
      <c r="U529" s="15"/>
      <c r="V529" s="15"/>
      <c r="W529" s="15"/>
      <c r="X529" s="15"/>
      <c r="Y529" s="15"/>
      <c r="Z529" s="15"/>
      <c r="AA529" s="15"/>
      <c r="AB529" s="15"/>
      <c r="AC529" s="15"/>
      <c r="AD529" s="15"/>
    </row>
    <row r="530" spans="20:30" x14ac:dyDescent="0.25">
      <c r="T530" s="15"/>
      <c r="U530" s="15"/>
      <c r="V530" s="15"/>
      <c r="W530" s="15"/>
      <c r="X530" s="15"/>
      <c r="Y530" s="15"/>
      <c r="Z530" s="15"/>
      <c r="AA530" s="15"/>
      <c r="AB530" s="15"/>
      <c r="AC530" s="15"/>
      <c r="AD530" s="15"/>
    </row>
    <row r="531" spans="20:30" x14ac:dyDescent="0.25">
      <c r="T531" s="15"/>
      <c r="U531" s="15"/>
      <c r="V531" s="15"/>
      <c r="W531" s="15"/>
      <c r="X531" s="15"/>
      <c r="Y531" s="15"/>
      <c r="Z531" s="15"/>
      <c r="AA531" s="15"/>
      <c r="AB531" s="15"/>
      <c r="AC531" s="15"/>
      <c r="AD531" s="15"/>
    </row>
    <row r="532" spans="20:30" x14ac:dyDescent="0.25">
      <c r="T532" s="15"/>
      <c r="U532" s="15"/>
      <c r="V532" s="15"/>
      <c r="W532" s="15"/>
      <c r="X532" s="15"/>
      <c r="Y532" s="15"/>
      <c r="Z532" s="15"/>
      <c r="AA532" s="15"/>
      <c r="AB532" s="15"/>
      <c r="AC532" s="15"/>
      <c r="AD532" s="15"/>
    </row>
    <row r="533" spans="20:30" x14ac:dyDescent="0.25">
      <c r="T533" s="15"/>
      <c r="U533" s="15"/>
      <c r="V533" s="15"/>
      <c r="W533" s="15"/>
      <c r="X533" s="15"/>
      <c r="Y533" s="15"/>
      <c r="Z533" s="15"/>
      <c r="AA533" s="15"/>
      <c r="AB533" s="15"/>
      <c r="AC533" s="15"/>
      <c r="AD533" s="15"/>
    </row>
    <row r="534" spans="20:30" x14ac:dyDescent="0.25">
      <c r="T534" s="15"/>
      <c r="U534" s="15"/>
      <c r="V534" s="15"/>
      <c r="W534" s="15"/>
      <c r="X534" s="15"/>
      <c r="Y534" s="15"/>
      <c r="Z534" s="15"/>
      <c r="AA534" s="15"/>
      <c r="AB534" s="15"/>
      <c r="AC534" s="15"/>
      <c r="AD534" s="15"/>
    </row>
    <row r="535" spans="20:30" x14ac:dyDescent="0.25">
      <c r="T535" s="15"/>
      <c r="U535" s="15"/>
      <c r="V535" s="15"/>
      <c r="W535" s="15"/>
      <c r="X535" s="15"/>
      <c r="Y535" s="15"/>
      <c r="Z535" s="15"/>
      <c r="AA535" s="15"/>
      <c r="AB535" s="15"/>
      <c r="AC535" s="15"/>
      <c r="AD535" s="15"/>
    </row>
    <row r="536" spans="20:30" x14ac:dyDescent="0.25">
      <c r="T536" s="15"/>
      <c r="U536" s="15"/>
      <c r="V536" s="15"/>
      <c r="W536" s="15"/>
      <c r="X536" s="15"/>
      <c r="Y536" s="15"/>
      <c r="Z536" s="15"/>
      <c r="AA536" s="15"/>
      <c r="AB536" s="15"/>
      <c r="AC536" s="15"/>
      <c r="AD536" s="15"/>
    </row>
    <row r="537" spans="20:30" x14ac:dyDescent="0.25">
      <c r="T537" s="15"/>
      <c r="U537" s="15"/>
      <c r="V537" s="15"/>
      <c r="W537" s="15"/>
      <c r="X537" s="15"/>
      <c r="Y537" s="15"/>
      <c r="Z537" s="15"/>
      <c r="AA537" s="15"/>
      <c r="AB537" s="15"/>
      <c r="AC537" s="15"/>
      <c r="AD537" s="15"/>
    </row>
    <row r="538" spans="20:30" x14ac:dyDescent="0.25">
      <c r="T538" s="15"/>
      <c r="U538" s="15"/>
      <c r="V538" s="15"/>
      <c r="W538" s="15"/>
      <c r="X538" s="15"/>
      <c r="Y538" s="15"/>
      <c r="Z538" s="15"/>
      <c r="AA538" s="15"/>
      <c r="AB538" s="15"/>
      <c r="AC538" s="15"/>
      <c r="AD538" s="15"/>
    </row>
    <row r="539" spans="20:30" x14ac:dyDescent="0.25">
      <c r="T539" s="15"/>
      <c r="U539" s="15"/>
      <c r="V539" s="15"/>
      <c r="W539" s="15"/>
      <c r="X539" s="15"/>
      <c r="Y539" s="15"/>
      <c r="Z539" s="15"/>
      <c r="AA539" s="15"/>
      <c r="AB539" s="15"/>
      <c r="AC539" s="15"/>
      <c r="AD539" s="15"/>
    </row>
    <row r="540" spans="20:30" x14ac:dyDescent="0.25">
      <c r="T540" s="15"/>
      <c r="U540" s="15"/>
      <c r="V540" s="15"/>
      <c r="W540" s="15"/>
      <c r="X540" s="15"/>
      <c r="Y540" s="15"/>
      <c r="Z540" s="15"/>
      <c r="AA540" s="15"/>
      <c r="AB540" s="15"/>
      <c r="AC540" s="15"/>
      <c r="AD540" s="15"/>
    </row>
    <row r="541" spans="20:30" x14ac:dyDescent="0.25">
      <c r="T541" s="15"/>
      <c r="U541" s="15"/>
      <c r="V541" s="15"/>
      <c r="W541" s="15"/>
      <c r="X541" s="15"/>
      <c r="Y541" s="15"/>
      <c r="Z541" s="15"/>
      <c r="AA541" s="15"/>
      <c r="AB541" s="15"/>
      <c r="AC541" s="15"/>
      <c r="AD541" s="15"/>
    </row>
    <row r="542" spans="20:30" x14ac:dyDescent="0.25">
      <c r="T542" s="15"/>
      <c r="U542" s="15"/>
      <c r="V542" s="15"/>
      <c r="W542" s="15"/>
      <c r="X542" s="15"/>
      <c r="Y542" s="15"/>
      <c r="Z542" s="15"/>
      <c r="AA542" s="15"/>
      <c r="AB542" s="15"/>
      <c r="AC542" s="15"/>
      <c r="AD542" s="15"/>
    </row>
    <row r="543" spans="20:30" x14ac:dyDescent="0.25">
      <c r="T543" s="15"/>
      <c r="U543" s="15"/>
      <c r="V543" s="15"/>
      <c r="W543" s="15"/>
      <c r="X543" s="15"/>
      <c r="Y543" s="15"/>
      <c r="Z543" s="15"/>
      <c r="AA543" s="15"/>
      <c r="AB543" s="15"/>
      <c r="AC543" s="15"/>
      <c r="AD543" s="15"/>
    </row>
    <row r="544" spans="20:30" x14ac:dyDescent="0.25">
      <c r="T544" s="15"/>
      <c r="U544" s="15"/>
      <c r="V544" s="15"/>
      <c r="W544" s="15"/>
      <c r="X544" s="15"/>
      <c r="Y544" s="15"/>
      <c r="Z544" s="15"/>
      <c r="AA544" s="15"/>
      <c r="AB544" s="15"/>
      <c r="AC544" s="15"/>
      <c r="AD544" s="15"/>
    </row>
    <row r="545" spans="20:30" x14ac:dyDescent="0.25">
      <c r="T545" s="15"/>
      <c r="U545" s="15"/>
      <c r="V545" s="15"/>
      <c r="W545" s="15"/>
      <c r="X545" s="15"/>
      <c r="Y545" s="15"/>
      <c r="Z545" s="15"/>
      <c r="AA545" s="15"/>
      <c r="AB545" s="15"/>
      <c r="AC545" s="15"/>
      <c r="AD545" s="15"/>
    </row>
    <row r="546" spans="20:30" x14ac:dyDescent="0.25">
      <c r="T546" s="15"/>
      <c r="U546" s="15"/>
      <c r="V546" s="15"/>
      <c r="W546" s="15"/>
      <c r="X546" s="15"/>
      <c r="Y546" s="15"/>
      <c r="Z546" s="15"/>
      <c r="AA546" s="15"/>
      <c r="AB546" s="15"/>
      <c r="AC546" s="15"/>
      <c r="AD546" s="15"/>
    </row>
    <row r="547" spans="20:30" x14ac:dyDescent="0.25">
      <c r="T547" s="15"/>
      <c r="U547" s="15"/>
      <c r="V547" s="15"/>
      <c r="W547" s="15"/>
      <c r="X547" s="15"/>
      <c r="Y547" s="15"/>
      <c r="Z547" s="15"/>
      <c r="AA547" s="15"/>
      <c r="AB547" s="15"/>
      <c r="AC547" s="15"/>
      <c r="AD547" s="15"/>
    </row>
    <row r="548" spans="20:30" x14ac:dyDescent="0.25">
      <c r="T548" s="15"/>
      <c r="U548" s="15"/>
      <c r="V548" s="15"/>
      <c r="W548" s="15"/>
      <c r="X548" s="15"/>
      <c r="Y548" s="15"/>
      <c r="Z548" s="15"/>
      <c r="AA548" s="15"/>
      <c r="AB548" s="15"/>
      <c r="AC548" s="15"/>
      <c r="AD548" s="15"/>
    </row>
    <row r="549" spans="20:30" x14ac:dyDescent="0.25">
      <c r="T549" s="15"/>
      <c r="U549" s="15"/>
      <c r="V549" s="15"/>
      <c r="W549" s="15"/>
      <c r="X549" s="15"/>
      <c r="Y549" s="15"/>
      <c r="Z549" s="15"/>
      <c r="AA549" s="15"/>
      <c r="AB549" s="15"/>
      <c r="AC549" s="15"/>
      <c r="AD549" s="15"/>
    </row>
    <row r="550" spans="20:30" x14ac:dyDescent="0.25">
      <c r="T550" s="15"/>
      <c r="U550" s="15"/>
      <c r="V550" s="15"/>
      <c r="W550" s="15"/>
      <c r="X550" s="15"/>
      <c r="Y550" s="15"/>
      <c r="Z550" s="15"/>
      <c r="AA550" s="15"/>
      <c r="AB550" s="15"/>
      <c r="AC550" s="15"/>
      <c r="AD550" s="15"/>
    </row>
    <row r="551" spans="20:30" x14ac:dyDescent="0.25">
      <c r="T551" s="15"/>
      <c r="U551" s="15"/>
      <c r="V551" s="15"/>
      <c r="W551" s="15"/>
      <c r="X551" s="15"/>
      <c r="Y551" s="15"/>
      <c r="Z551" s="15"/>
      <c r="AA551" s="15"/>
      <c r="AB551" s="15"/>
      <c r="AC551" s="15"/>
      <c r="AD551" s="15"/>
    </row>
    <row r="552" spans="20:30" x14ac:dyDescent="0.25">
      <c r="T552" s="15"/>
      <c r="U552" s="15"/>
      <c r="V552" s="15"/>
      <c r="W552" s="15"/>
      <c r="X552" s="15"/>
      <c r="Y552" s="15"/>
      <c r="Z552" s="15"/>
      <c r="AA552" s="15"/>
      <c r="AB552" s="15"/>
      <c r="AC552" s="15"/>
      <c r="AD552" s="15"/>
    </row>
    <row r="553" spans="20:30" x14ac:dyDescent="0.25">
      <c r="T553" s="15"/>
      <c r="U553" s="15"/>
      <c r="V553" s="15"/>
      <c r="W553" s="15"/>
      <c r="X553" s="15"/>
      <c r="Y553" s="15"/>
      <c r="Z553" s="15"/>
      <c r="AA553" s="15"/>
      <c r="AB553" s="15"/>
      <c r="AC553" s="15"/>
      <c r="AD553" s="15"/>
    </row>
    <row r="554" spans="20:30" x14ac:dyDescent="0.25">
      <c r="T554" s="15"/>
      <c r="U554" s="15"/>
      <c r="V554" s="15"/>
      <c r="W554" s="15"/>
      <c r="X554" s="15"/>
      <c r="Y554" s="15"/>
      <c r="Z554" s="15"/>
      <c r="AA554" s="15"/>
      <c r="AB554" s="15"/>
      <c r="AC554" s="15"/>
      <c r="AD554" s="15"/>
    </row>
    <row r="555" spans="20:30" x14ac:dyDescent="0.25">
      <c r="T555" s="15"/>
      <c r="U555" s="15"/>
      <c r="V555" s="15"/>
      <c r="W555" s="15"/>
      <c r="X555" s="15"/>
      <c r="Y555" s="15"/>
      <c r="Z555" s="15"/>
      <c r="AA555" s="15"/>
      <c r="AB555" s="15"/>
      <c r="AC555" s="15"/>
      <c r="AD555" s="15"/>
    </row>
    <row r="556" spans="20:30" x14ac:dyDescent="0.25">
      <c r="T556" s="15"/>
      <c r="U556" s="15"/>
      <c r="V556" s="15"/>
      <c r="W556" s="15"/>
      <c r="X556" s="15"/>
      <c r="Y556" s="15"/>
      <c r="Z556" s="15"/>
      <c r="AA556" s="15"/>
      <c r="AB556" s="15"/>
      <c r="AC556" s="15"/>
      <c r="AD556" s="15"/>
    </row>
    <row r="557" spans="20:30" x14ac:dyDescent="0.25">
      <c r="T557" s="15"/>
      <c r="U557" s="15"/>
      <c r="V557" s="15"/>
      <c r="W557" s="15"/>
      <c r="X557" s="15"/>
      <c r="Y557" s="15"/>
      <c r="Z557" s="15"/>
      <c r="AA557" s="15"/>
      <c r="AB557" s="15"/>
      <c r="AC557" s="15"/>
      <c r="AD557" s="15"/>
    </row>
    <row r="558" spans="20:30" x14ac:dyDescent="0.25">
      <c r="T558" s="15"/>
      <c r="U558" s="15"/>
      <c r="V558" s="15"/>
      <c r="W558" s="15"/>
      <c r="X558" s="15"/>
      <c r="Y558" s="15"/>
      <c r="Z558" s="15"/>
      <c r="AA558" s="15"/>
      <c r="AB558" s="15"/>
      <c r="AC558" s="15"/>
      <c r="AD558" s="15"/>
    </row>
    <row r="559" spans="20:30" x14ac:dyDescent="0.25">
      <c r="T559" s="15"/>
      <c r="U559" s="15"/>
      <c r="V559" s="15"/>
      <c r="W559" s="15"/>
      <c r="X559" s="15"/>
      <c r="Y559" s="15"/>
      <c r="Z559" s="15"/>
      <c r="AA559" s="15"/>
      <c r="AB559" s="15"/>
      <c r="AC559" s="15"/>
      <c r="AD559" s="15"/>
    </row>
    <row r="560" spans="20:30" x14ac:dyDescent="0.25">
      <c r="T560" s="15"/>
      <c r="U560" s="15"/>
      <c r="V560" s="15"/>
      <c r="W560" s="15"/>
      <c r="X560" s="15"/>
      <c r="Y560" s="15"/>
      <c r="Z560" s="15"/>
      <c r="AA560" s="15"/>
      <c r="AB560" s="15"/>
      <c r="AC560" s="15"/>
      <c r="AD560" s="15"/>
    </row>
    <row r="561" spans="20:30" x14ac:dyDescent="0.25">
      <c r="T561" s="15"/>
      <c r="U561" s="15"/>
      <c r="V561" s="15"/>
      <c r="W561" s="15"/>
      <c r="X561" s="15"/>
      <c r="Y561" s="15"/>
      <c r="Z561" s="15"/>
      <c r="AA561" s="15"/>
      <c r="AB561" s="15"/>
      <c r="AC561" s="15"/>
      <c r="AD561" s="15"/>
    </row>
    <row r="562" spans="20:30" x14ac:dyDescent="0.25">
      <c r="T562" s="15"/>
      <c r="U562" s="15"/>
      <c r="V562" s="15"/>
      <c r="W562" s="15"/>
      <c r="X562" s="15"/>
      <c r="Y562" s="15"/>
      <c r="Z562" s="15"/>
      <c r="AA562" s="15"/>
      <c r="AB562" s="15"/>
      <c r="AC562" s="15"/>
      <c r="AD562" s="15"/>
    </row>
    <row r="563" spans="20:30" x14ac:dyDescent="0.25">
      <c r="T563" s="15"/>
      <c r="U563" s="15"/>
      <c r="V563" s="15"/>
      <c r="W563" s="15"/>
      <c r="X563" s="15"/>
      <c r="Y563" s="15"/>
      <c r="Z563" s="15"/>
      <c r="AA563" s="15"/>
      <c r="AB563" s="15"/>
      <c r="AC563" s="15"/>
      <c r="AD563" s="15"/>
    </row>
    <row r="564" spans="20:30" x14ac:dyDescent="0.25">
      <c r="T564" s="15"/>
      <c r="U564" s="15"/>
      <c r="V564" s="15"/>
      <c r="W564" s="15"/>
      <c r="X564" s="15"/>
      <c r="Y564" s="15"/>
      <c r="Z564" s="15"/>
      <c r="AA564" s="15"/>
      <c r="AB564" s="15"/>
      <c r="AC564" s="15"/>
      <c r="AD564" s="15"/>
    </row>
    <row r="565" spans="20:30" x14ac:dyDescent="0.25">
      <c r="T565" s="15"/>
      <c r="U565" s="15"/>
      <c r="V565" s="15"/>
      <c r="W565" s="15"/>
      <c r="X565" s="15"/>
      <c r="Y565" s="15"/>
      <c r="Z565" s="15"/>
      <c r="AA565" s="15"/>
      <c r="AB565" s="15"/>
      <c r="AC565" s="15"/>
      <c r="AD565" s="15"/>
    </row>
    <row r="566" spans="20:30" x14ac:dyDescent="0.25">
      <c r="T566" s="15"/>
      <c r="U566" s="15"/>
      <c r="V566" s="15"/>
      <c r="W566" s="15"/>
      <c r="X566" s="15"/>
      <c r="Y566" s="15"/>
      <c r="Z566" s="15"/>
      <c r="AA566" s="15"/>
      <c r="AB566" s="15"/>
      <c r="AC566" s="15"/>
      <c r="AD566" s="15"/>
    </row>
    <row r="567" spans="20:30" x14ac:dyDescent="0.25">
      <c r="T567" s="15"/>
      <c r="U567" s="15"/>
      <c r="V567" s="15"/>
      <c r="W567" s="15"/>
      <c r="X567" s="15"/>
      <c r="Y567" s="15"/>
      <c r="Z567" s="15"/>
      <c r="AA567" s="15"/>
      <c r="AB567" s="15"/>
      <c r="AC567" s="15"/>
      <c r="AD567" s="15"/>
    </row>
    <row r="568" spans="20:30" x14ac:dyDescent="0.25">
      <c r="T568" s="15"/>
      <c r="U568" s="15"/>
      <c r="V568" s="15"/>
      <c r="W568" s="15"/>
      <c r="X568" s="15"/>
      <c r="Y568" s="15"/>
      <c r="Z568" s="15"/>
      <c r="AA568" s="15"/>
      <c r="AB568" s="15"/>
      <c r="AC568" s="15"/>
      <c r="AD568" s="15"/>
    </row>
    <row r="569" spans="20:30" x14ac:dyDescent="0.25">
      <c r="T569" s="15"/>
      <c r="U569" s="15"/>
      <c r="V569" s="15"/>
      <c r="W569" s="15"/>
      <c r="X569" s="15"/>
      <c r="Y569" s="15"/>
      <c r="Z569" s="15"/>
      <c r="AA569" s="15"/>
      <c r="AB569" s="15"/>
      <c r="AC569" s="15"/>
      <c r="AD569" s="15"/>
    </row>
    <row r="570" spans="20:30" x14ac:dyDescent="0.25">
      <c r="T570" s="15"/>
      <c r="U570" s="15"/>
      <c r="V570" s="15"/>
      <c r="W570" s="15"/>
      <c r="X570" s="15"/>
      <c r="Y570" s="15"/>
      <c r="Z570" s="15"/>
      <c r="AA570" s="15"/>
      <c r="AB570" s="15"/>
      <c r="AC570" s="15"/>
      <c r="AD570" s="15"/>
    </row>
    <row r="571" spans="20:30" x14ac:dyDescent="0.25">
      <c r="T571" s="15"/>
      <c r="U571" s="15"/>
      <c r="V571" s="15"/>
      <c r="W571" s="15"/>
      <c r="X571" s="15"/>
      <c r="Y571" s="15"/>
      <c r="Z571" s="15"/>
      <c r="AA571" s="15"/>
      <c r="AB571" s="15"/>
      <c r="AC571" s="15"/>
      <c r="AD571" s="15"/>
    </row>
    <row r="572" spans="20:30" x14ac:dyDescent="0.25">
      <c r="T572" s="15"/>
      <c r="U572" s="15"/>
      <c r="V572" s="15"/>
      <c r="W572" s="15"/>
      <c r="X572" s="15"/>
      <c r="Y572" s="15"/>
      <c r="Z572" s="15"/>
      <c r="AA572" s="15"/>
      <c r="AB572" s="15"/>
      <c r="AC572" s="15"/>
      <c r="AD572" s="15"/>
    </row>
    <row r="573" spans="20:30" x14ac:dyDescent="0.25">
      <c r="T573" s="15"/>
      <c r="U573" s="15"/>
      <c r="V573" s="15"/>
      <c r="W573" s="15"/>
      <c r="X573" s="15"/>
      <c r="Y573" s="15"/>
      <c r="Z573" s="15"/>
      <c r="AA573" s="15"/>
      <c r="AB573" s="15"/>
      <c r="AC573" s="15"/>
      <c r="AD573" s="15"/>
    </row>
    <row r="574" spans="20:30" x14ac:dyDescent="0.25">
      <c r="T574" s="15"/>
      <c r="U574" s="15"/>
      <c r="V574" s="15"/>
      <c r="W574" s="15"/>
      <c r="X574" s="15"/>
      <c r="Y574" s="15"/>
      <c r="Z574" s="15"/>
      <c r="AA574" s="15"/>
      <c r="AB574" s="15"/>
      <c r="AC574" s="15"/>
      <c r="AD574" s="15"/>
    </row>
    <row r="575" spans="20:30" x14ac:dyDescent="0.25">
      <c r="T575" s="15"/>
      <c r="U575" s="15"/>
      <c r="V575" s="15"/>
      <c r="W575" s="15"/>
      <c r="X575" s="15"/>
      <c r="Y575" s="15"/>
      <c r="Z575" s="15"/>
      <c r="AA575" s="15"/>
      <c r="AB575" s="15"/>
      <c r="AC575" s="15"/>
      <c r="AD575" s="15"/>
    </row>
    <row r="576" spans="20:30" x14ac:dyDescent="0.25">
      <c r="T576" s="15"/>
      <c r="U576" s="15"/>
      <c r="V576" s="15"/>
      <c r="W576" s="15"/>
      <c r="X576" s="15"/>
      <c r="Y576" s="15"/>
      <c r="Z576" s="15"/>
      <c r="AA576" s="15"/>
      <c r="AB576" s="15"/>
      <c r="AC576" s="15"/>
      <c r="AD576" s="15"/>
    </row>
    <row r="577" spans="20:30" x14ac:dyDescent="0.25">
      <c r="T577" s="15"/>
      <c r="U577" s="15"/>
      <c r="V577" s="15"/>
      <c r="W577" s="15"/>
      <c r="X577" s="15"/>
      <c r="Y577" s="15"/>
      <c r="Z577" s="15"/>
      <c r="AA577" s="15"/>
      <c r="AB577" s="15"/>
      <c r="AC577" s="15"/>
      <c r="AD577" s="15"/>
    </row>
    <row r="578" spans="20:30" x14ac:dyDescent="0.25">
      <c r="T578" s="15"/>
      <c r="U578" s="15"/>
      <c r="V578" s="15"/>
      <c r="W578" s="15"/>
      <c r="X578" s="15"/>
      <c r="Y578" s="15"/>
      <c r="Z578" s="15"/>
      <c r="AA578" s="15"/>
      <c r="AB578" s="15"/>
      <c r="AC578" s="15"/>
      <c r="AD578" s="15"/>
    </row>
    <row r="579" spans="20:30" x14ac:dyDescent="0.25">
      <c r="T579" s="15"/>
      <c r="U579" s="15"/>
      <c r="V579" s="15"/>
      <c r="W579" s="15"/>
      <c r="X579" s="15"/>
      <c r="Y579" s="15"/>
      <c r="Z579" s="15"/>
      <c r="AA579" s="15"/>
      <c r="AB579" s="15"/>
      <c r="AC579" s="15"/>
      <c r="AD579" s="15"/>
    </row>
    <row r="580" spans="20:30" x14ac:dyDescent="0.25">
      <c r="T580" s="15"/>
      <c r="U580" s="15"/>
      <c r="V580" s="15"/>
      <c r="W580" s="15"/>
      <c r="X580" s="15"/>
      <c r="Y580" s="15"/>
      <c r="Z580" s="15"/>
      <c r="AA580" s="15"/>
      <c r="AB580" s="15"/>
      <c r="AC580" s="15"/>
      <c r="AD580" s="15"/>
    </row>
    <row r="581" spans="20:30" x14ac:dyDescent="0.25">
      <c r="T581" s="15"/>
      <c r="U581" s="15"/>
      <c r="V581" s="15"/>
      <c r="W581" s="15"/>
      <c r="X581" s="15"/>
      <c r="Y581" s="15"/>
      <c r="Z581" s="15"/>
      <c r="AA581" s="15"/>
      <c r="AB581" s="15"/>
      <c r="AC581" s="15"/>
      <c r="AD581" s="15"/>
    </row>
    <row r="582" spans="20:30" x14ac:dyDescent="0.25">
      <c r="T582" s="15"/>
      <c r="U582" s="15"/>
      <c r="V582" s="15"/>
      <c r="W582" s="15"/>
      <c r="X582" s="15"/>
      <c r="Y582" s="15"/>
      <c r="Z582" s="15"/>
      <c r="AA582" s="15"/>
      <c r="AB582" s="15"/>
      <c r="AC582" s="15"/>
      <c r="AD582" s="15"/>
    </row>
    <row r="583" spans="20:30" x14ac:dyDescent="0.25">
      <c r="T583" s="15"/>
      <c r="U583" s="15"/>
      <c r="V583" s="15"/>
      <c r="W583" s="15"/>
      <c r="X583" s="15"/>
      <c r="Y583" s="15"/>
      <c r="Z583" s="15"/>
      <c r="AA583" s="15"/>
      <c r="AB583" s="15"/>
      <c r="AC583" s="15"/>
      <c r="AD583" s="15"/>
    </row>
    <row r="584" spans="20:30" x14ac:dyDescent="0.25">
      <c r="T584" s="15"/>
      <c r="U584" s="15"/>
      <c r="V584" s="15"/>
      <c r="W584" s="15"/>
      <c r="X584" s="15"/>
      <c r="Y584" s="15"/>
      <c r="Z584" s="15"/>
      <c r="AA584" s="15"/>
      <c r="AB584" s="15"/>
      <c r="AC584" s="15"/>
      <c r="AD584" s="15"/>
    </row>
    <row r="585" spans="20:30" x14ac:dyDescent="0.25">
      <c r="T585" s="15"/>
      <c r="U585" s="15"/>
      <c r="V585" s="15"/>
      <c r="W585" s="15"/>
      <c r="X585" s="15"/>
      <c r="Y585" s="15"/>
      <c r="Z585" s="15"/>
      <c r="AA585" s="15"/>
      <c r="AB585" s="15"/>
      <c r="AC585" s="15"/>
      <c r="AD585" s="15"/>
    </row>
    <row r="586" spans="20:30" x14ac:dyDescent="0.25">
      <c r="T586" s="15"/>
      <c r="U586" s="15"/>
      <c r="V586" s="15"/>
      <c r="W586" s="15"/>
      <c r="X586" s="15"/>
      <c r="Y586" s="15"/>
      <c r="Z586" s="15"/>
      <c r="AA586" s="15"/>
      <c r="AB586" s="15"/>
      <c r="AC586" s="15"/>
      <c r="AD586" s="15"/>
    </row>
    <row r="587" spans="20:30" x14ac:dyDescent="0.25">
      <c r="T587" s="15"/>
      <c r="U587" s="15"/>
      <c r="V587" s="15"/>
      <c r="W587" s="15"/>
      <c r="X587" s="15"/>
      <c r="Y587" s="15"/>
      <c r="Z587" s="15"/>
      <c r="AA587" s="15"/>
      <c r="AB587" s="15"/>
      <c r="AC587" s="15"/>
      <c r="AD587" s="15"/>
    </row>
    <row r="588" spans="20:30" x14ac:dyDescent="0.25">
      <c r="T588" s="15"/>
      <c r="U588" s="15"/>
      <c r="V588" s="15"/>
      <c r="W588" s="15"/>
      <c r="X588" s="15"/>
      <c r="Y588" s="15"/>
      <c r="Z588" s="15"/>
      <c r="AA588" s="15"/>
      <c r="AB588" s="15"/>
      <c r="AC588" s="15"/>
      <c r="AD588" s="15"/>
    </row>
    <row r="589" spans="20:30" x14ac:dyDescent="0.25">
      <c r="T589" s="15"/>
      <c r="U589" s="15"/>
      <c r="V589" s="15"/>
      <c r="W589" s="15"/>
      <c r="X589" s="15"/>
      <c r="Y589" s="15"/>
      <c r="Z589" s="15"/>
      <c r="AA589" s="15"/>
      <c r="AB589" s="15"/>
      <c r="AC589" s="15"/>
      <c r="AD589" s="15"/>
    </row>
    <row r="590" spans="20:30" x14ac:dyDescent="0.25">
      <c r="T590" s="15"/>
      <c r="U590" s="15"/>
      <c r="V590" s="15"/>
      <c r="W590" s="15"/>
      <c r="X590" s="15"/>
      <c r="Y590" s="15"/>
      <c r="Z590" s="15"/>
      <c r="AA590" s="15"/>
      <c r="AB590" s="15"/>
      <c r="AC590" s="15"/>
      <c r="AD590" s="15"/>
    </row>
    <row r="591" spans="20:30" x14ac:dyDescent="0.25">
      <c r="T591" s="15"/>
      <c r="U591" s="15"/>
      <c r="V591" s="15"/>
      <c r="W591" s="15"/>
      <c r="X591" s="15"/>
      <c r="Y591" s="15"/>
      <c r="Z591" s="15"/>
      <c r="AA591" s="15"/>
      <c r="AB591" s="15"/>
      <c r="AC591" s="15"/>
      <c r="AD591" s="15"/>
    </row>
    <row r="592" spans="20:30" x14ac:dyDescent="0.25">
      <c r="T592" s="15"/>
      <c r="U592" s="15"/>
      <c r="V592" s="15"/>
      <c r="W592" s="15"/>
      <c r="X592" s="15"/>
      <c r="Y592" s="15"/>
      <c r="Z592" s="15"/>
      <c r="AA592" s="15"/>
      <c r="AB592" s="15"/>
      <c r="AC592" s="15"/>
      <c r="AD592" s="15"/>
    </row>
    <row r="593" spans="20:30" x14ac:dyDescent="0.25">
      <c r="T593" s="15"/>
      <c r="U593" s="15"/>
      <c r="V593" s="15"/>
      <c r="W593" s="15"/>
      <c r="X593" s="15"/>
      <c r="Y593" s="15"/>
      <c r="Z593" s="15"/>
      <c r="AA593" s="15"/>
      <c r="AB593" s="15"/>
      <c r="AC593" s="15"/>
      <c r="AD593" s="15"/>
    </row>
    <row r="594" spans="20:30" x14ac:dyDescent="0.25">
      <c r="T594" s="15"/>
      <c r="U594" s="15"/>
      <c r="V594" s="15"/>
      <c r="W594" s="15"/>
      <c r="X594" s="15"/>
      <c r="Y594" s="15"/>
      <c r="Z594" s="15"/>
      <c r="AA594" s="15"/>
      <c r="AB594" s="15"/>
      <c r="AC594" s="15"/>
      <c r="AD594" s="15"/>
    </row>
    <row r="595" spans="20:30" x14ac:dyDescent="0.25">
      <c r="T595" s="15"/>
      <c r="U595" s="15"/>
      <c r="V595" s="15"/>
      <c r="W595" s="15"/>
      <c r="X595" s="15"/>
      <c r="Y595" s="15"/>
      <c r="Z595" s="15"/>
      <c r="AA595" s="15"/>
      <c r="AB595" s="15"/>
      <c r="AC595" s="15"/>
      <c r="AD595" s="15"/>
    </row>
    <row r="596" spans="20:30" x14ac:dyDescent="0.25">
      <c r="T596" s="15"/>
      <c r="U596" s="15"/>
      <c r="V596" s="15"/>
      <c r="W596" s="15"/>
      <c r="X596" s="15"/>
      <c r="Y596" s="15"/>
      <c r="Z596" s="15"/>
      <c r="AA596" s="15"/>
      <c r="AB596" s="15"/>
      <c r="AC596" s="15"/>
      <c r="AD596" s="15"/>
    </row>
    <row r="597" spans="20:30" x14ac:dyDescent="0.25">
      <c r="T597" s="15"/>
      <c r="U597" s="15"/>
      <c r="V597" s="15"/>
      <c r="W597" s="15"/>
      <c r="X597" s="15"/>
      <c r="Y597" s="15"/>
      <c r="Z597" s="15"/>
      <c r="AA597" s="15"/>
      <c r="AB597" s="15"/>
      <c r="AC597" s="15"/>
      <c r="AD597" s="15"/>
    </row>
    <row r="598" spans="20:30" x14ac:dyDescent="0.25">
      <c r="T598" s="15"/>
      <c r="U598" s="15"/>
      <c r="V598" s="15"/>
      <c r="W598" s="15"/>
      <c r="X598" s="15"/>
      <c r="Y598" s="15"/>
      <c r="Z598" s="15"/>
      <c r="AA598" s="15"/>
      <c r="AB598" s="15"/>
      <c r="AC598" s="15"/>
      <c r="AD598" s="15"/>
    </row>
    <row r="599" spans="20:30" x14ac:dyDescent="0.25">
      <c r="T599" s="15"/>
      <c r="U599" s="15"/>
      <c r="V599" s="15"/>
      <c r="W599" s="15"/>
      <c r="X599" s="15"/>
      <c r="Y599" s="15"/>
      <c r="Z599" s="15"/>
      <c r="AA599" s="15"/>
      <c r="AB599" s="15"/>
      <c r="AC599" s="15"/>
      <c r="AD599" s="15"/>
    </row>
    <row r="600" spans="20:30" x14ac:dyDescent="0.25">
      <c r="T600" s="15"/>
      <c r="U600" s="15"/>
      <c r="V600" s="15"/>
      <c r="W600" s="15"/>
      <c r="X600" s="15"/>
      <c r="Y600" s="15"/>
      <c r="Z600" s="15"/>
      <c r="AA600" s="15"/>
      <c r="AB600" s="15"/>
      <c r="AC600" s="15"/>
      <c r="AD600" s="15"/>
    </row>
    <row r="601" spans="20:30" x14ac:dyDescent="0.25">
      <c r="T601" s="15"/>
      <c r="U601" s="15"/>
      <c r="V601" s="15"/>
      <c r="W601" s="15"/>
      <c r="X601" s="15"/>
      <c r="Y601" s="15"/>
      <c r="Z601" s="15"/>
      <c r="AA601" s="15"/>
      <c r="AB601" s="15"/>
      <c r="AC601" s="15"/>
      <c r="AD601" s="15"/>
    </row>
    <row r="602" spans="20:30" x14ac:dyDescent="0.25">
      <c r="T602" s="15"/>
      <c r="U602" s="15"/>
      <c r="V602" s="15"/>
      <c r="W602" s="15"/>
      <c r="X602" s="15"/>
      <c r="Y602" s="15"/>
      <c r="Z602" s="15"/>
      <c r="AA602" s="15"/>
      <c r="AB602" s="15"/>
      <c r="AC602" s="15"/>
      <c r="AD602" s="15"/>
    </row>
    <row r="603" spans="20:30" x14ac:dyDescent="0.25">
      <c r="T603" s="15"/>
      <c r="U603" s="15"/>
      <c r="V603" s="15"/>
      <c r="W603" s="15"/>
      <c r="X603" s="15"/>
      <c r="Y603" s="15"/>
      <c r="Z603" s="15"/>
      <c r="AA603" s="15"/>
      <c r="AB603" s="15"/>
      <c r="AC603" s="15"/>
      <c r="AD603" s="15"/>
    </row>
    <row r="604" spans="20:30" x14ac:dyDescent="0.25">
      <c r="T604" s="15"/>
      <c r="U604" s="15"/>
      <c r="V604" s="15"/>
      <c r="W604" s="15"/>
      <c r="X604" s="15"/>
      <c r="Y604" s="15"/>
      <c r="Z604" s="15"/>
      <c r="AA604" s="15"/>
      <c r="AB604" s="15"/>
      <c r="AC604" s="15"/>
      <c r="AD604" s="15"/>
    </row>
    <row r="605" spans="20:30" x14ac:dyDescent="0.25">
      <c r="T605" s="15"/>
      <c r="U605" s="15"/>
      <c r="V605" s="15"/>
      <c r="W605" s="15"/>
      <c r="X605" s="15"/>
      <c r="Y605" s="15"/>
      <c r="Z605" s="15"/>
      <c r="AA605" s="15"/>
      <c r="AB605" s="15"/>
      <c r="AC605" s="15"/>
      <c r="AD605" s="15"/>
    </row>
    <row r="606" spans="20:30" x14ac:dyDescent="0.25">
      <c r="T606" s="15"/>
      <c r="U606" s="15"/>
      <c r="V606" s="15"/>
      <c r="W606" s="15"/>
      <c r="X606" s="15"/>
      <c r="Y606" s="15"/>
      <c r="Z606" s="15"/>
      <c r="AA606" s="15"/>
      <c r="AB606" s="15"/>
      <c r="AC606" s="15"/>
      <c r="AD606" s="15"/>
    </row>
    <row r="607" spans="20:30" x14ac:dyDescent="0.25">
      <c r="T607" s="15"/>
      <c r="U607" s="15"/>
      <c r="V607" s="15"/>
      <c r="W607" s="15"/>
      <c r="X607" s="15"/>
      <c r="Y607" s="15"/>
      <c r="Z607" s="15"/>
      <c r="AA607" s="15"/>
      <c r="AB607" s="15"/>
      <c r="AC607" s="15"/>
      <c r="AD607" s="15"/>
    </row>
    <row r="608" spans="20:30" x14ac:dyDescent="0.25">
      <c r="T608" s="15"/>
      <c r="U608" s="15"/>
      <c r="V608" s="15"/>
      <c r="W608" s="15"/>
      <c r="X608" s="15"/>
      <c r="Y608" s="15"/>
      <c r="Z608" s="15"/>
      <c r="AA608" s="15"/>
      <c r="AB608" s="15"/>
      <c r="AC608" s="15"/>
      <c r="AD608" s="15"/>
    </row>
    <row r="609" spans="20:31" x14ac:dyDescent="0.25">
      <c r="T609" s="15"/>
      <c r="U609" s="15"/>
      <c r="V609" s="15"/>
      <c r="W609" s="15"/>
      <c r="X609" s="15"/>
      <c r="Y609" s="15"/>
      <c r="Z609" s="15"/>
      <c r="AA609" s="15"/>
      <c r="AB609" s="15"/>
      <c r="AC609" s="15"/>
      <c r="AD609" s="15"/>
    </row>
    <row r="610" spans="20:31" x14ac:dyDescent="0.25">
      <c r="T610" s="15"/>
      <c r="U610" s="15"/>
      <c r="V610" s="15"/>
      <c r="W610" s="15"/>
      <c r="X610" s="15"/>
      <c r="Y610" s="15"/>
      <c r="Z610" s="15"/>
      <c r="AA610" s="15"/>
      <c r="AB610" s="15"/>
      <c r="AC610" s="15"/>
      <c r="AD610" s="15"/>
    </row>
    <row r="615" spans="20:31" ht="16.5" x14ac:dyDescent="0.25">
      <c r="T615" s="3"/>
      <c r="U615" s="3"/>
      <c r="V615" s="3"/>
      <c r="W615" s="3"/>
      <c r="X615" s="3"/>
      <c r="Y615" s="3"/>
      <c r="Z615" s="3"/>
      <c r="AA615" s="3"/>
      <c r="AB615" s="3"/>
      <c r="AC615" s="3"/>
      <c r="AD615" s="3"/>
      <c r="AE615" s="3"/>
    </row>
    <row r="622" spans="20:31" x14ac:dyDescent="0.25">
      <c r="T622" s="10"/>
      <c r="U622" s="10"/>
      <c r="V622" s="10"/>
      <c r="W622" s="10"/>
      <c r="X622" s="10"/>
      <c r="Y622" s="10"/>
      <c r="Z622" s="10"/>
      <c r="AA622" s="10"/>
      <c r="AB622" s="10"/>
      <c r="AC622" s="10"/>
      <c r="AD622" s="10"/>
      <c r="AE622" s="10"/>
    </row>
  </sheetData>
  <sortState xmlns:xlrd2="http://schemas.microsoft.com/office/spreadsheetml/2017/richdata2" ref="A15:R218">
    <sortCondition descending="1" ref="C15"/>
    <sortCondition descending="1" ref="G15"/>
  </sortState>
  <mergeCells count="352">
    <mergeCell ref="S214:S217"/>
    <mergeCell ref="S201:S206"/>
    <mergeCell ref="F208:O208"/>
    <mergeCell ref="A207:A208"/>
    <mergeCell ref="B207:B208"/>
    <mergeCell ref="C207:C208"/>
    <mergeCell ref="D207:D208"/>
    <mergeCell ref="E207:E208"/>
    <mergeCell ref="F213:O213"/>
    <mergeCell ref="A209:A213"/>
    <mergeCell ref="B209:B213"/>
    <mergeCell ref="C209:C213"/>
    <mergeCell ref="F217:O217"/>
    <mergeCell ref="A214:A217"/>
    <mergeCell ref="B214:B217"/>
    <mergeCell ref="C214:C217"/>
    <mergeCell ref="D214:D217"/>
    <mergeCell ref="E214:E217"/>
    <mergeCell ref="D209:D213"/>
    <mergeCell ref="E209:E213"/>
    <mergeCell ref="E181:E182"/>
    <mergeCell ref="E183:E189"/>
    <mergeCell ref="F151:O151"/>
    <mergeCell ref="D136:D140"/>
    <mergeCell ref="E136:E140"/>
    <mergeCell ref="F135:O135"/>
    <mergeCell ref="C130:C135"/>
    <mergeCell ref="D130:D135"/>
    <mergeCell ref="E130:E135"/>
    <mergeCell ref="S130:S135"/>
    <mergeCell ref="F182:O182"/>
    <mergeCell ref="A130:A135"/>
    <mergeCell ref="B130:B135"/>
    <mergeCell ref="S181:S182"/>
    <mergeCell ref="F189:O189"/>
    <mergeCell ref="B190:B193"/>
    <mergeCell ref="C190:C193"/>
    <mergeCell ref="D190:D193"/>
    <mergeCell ref="S209:S213"/>
    <mergeCell ref="S207:S208"/>
    <mergeCell ref="S169:S180"/>
    <mergeCell ref="A152:A157"/>
    <mergeCell ref="B152:B157"/>
    <mergeCell ref="C152:C157"/>
    <mergeCell ref="D152:D157"/>
    <mergeCell ref="F162:O162"/>
    <mergeCell ref="A160:A162"/>
    <mergeCell ref="B160:B162"/>
    <mergeCell ref="C160:C162"/>
    <mergeCell ref="D160:D162"/>
    <mergeCell ref="E160:E162"/>
    <mergeCell ref="S160:S162"/>
    <mergeCell ref="A163:A164"/>
    <mergeCell ref="B163:B164"/>
    <mergeCell ref="C163:C164"/>
    <mergeCell ref="A39:A42"/>
    <mergeCell ref="B39:B42"/>
    <mergeCell ref="C39:C42"/>
    <mergeCell ref="D39:D42"/>
    <mergeCell ref="E39:E42"/>
    <mergeCell ref="C76:C80"/>
    <mergeCell ref="D76:D80"/>
    <mergeCell ref="E76:E80"/>
    <mergeCell ref="B43:B47"/>
    <mergeCell ref="C43:C47"/>
    <mergeCell ref="E48:E51"/>
    <mergeCell ref="B96:B99"/>
    <mergeCell ref="C96:C99"/>
    <mergeCell ref="D96:D99"/>
    <mergeCell ref="E96:E99"/>
    <mergeCell ref="F84:O84"/>
    <mergeCell ref="E85:E89"/>
    <mergeCell ref="F95:O95"/>
    <mergeCell ref="C90:C95"/>
    <mergeCell ref="D90:D95"/>
    <mergeCell ref="E90:E95"/>
    <mergeCell ref="S90:S95"/>
    <mergeCell ref="F89:O89"/>
    <mergeCell ref="A85:A89"/>
    <mergeCell ref="B85:B89"/>
    <mergeCell ref="C85:C89"/>
    <mergeCell ref="D85:D89"/>
    <mergeCell ref="S81:S84"/>
    <mergeCell ref="B81:B84"/>
    <mergeCell ref="C81:C84"/>
    <mergeCell ref="D81:D84"/>
    <mergeCell ref="E81:E84"/>
    <mergeCell ref="A81:A84"/>
    <mergeCell ref="F75:O75"/>
    <mergeCell ref="F56:O56"/>
    <mergeCell ref="E52:E56"/>
    <mergeCell ref="S43:S47"/>
    <mergeCell ref="S62:S67"/>
    <mergeCell ref="S52:S56"/>
    <mergeCell ref="A23:A30"/>
    <mergeCell ref="B23:B30"/>
    <mergeCell ref="C23:C30"/>
    <mergeCell ref="D23:D30"/>
    <mergeCell ref="E23:E30"/>
    <mergeCell ref="F38:O38"/>
    <mergeCell ref="A31:A38"/>
    <mergeCell ref="B31:B38"/>
    <mergeCell ref="C31:C38"/>
    <mergeCell ref="D31:D38"/>
    <mergeCell ref="E31:E38"/>
    <mergeCell ref="F67:O67"/>
    <mergeCell ref="B62:B67"/>
    <mergeCell ref="C62:C67"/>
    <mergeCell ref="D62:D67"/>
    <mergeCell ref="E62:E67"/>
    <mergeCell ref="A62:A67"/>
    <mergeCell ref="A43:A47"/>
    <mergeCell ref="A15:A22"/>
    <mergeCell ref="B15:B22"/>
    <mergeCell ref="C15:C22"/>
    <mergeCell ref="D15:D22"/>
    <mergeCell ref="E15:E22"/>
    <mergeCell ref="A7:S7"/>
    <mergeCell ref="A1:E1"/>
    <mergeCell ref="A4:E4"/>
    <mergeCell ref="A3:E3"/>
    <mergeCell ref="J1:S1"/>
    <mergeCell ref="J2:S2"/>
    <mergeCell ref="A5:D5"/>
    <mergeCell ref="A2:E2"/>
    <mergeCell ref="J4:S4"/>
    <mergeCell ref="A6:S6"/>
    <mergeCell ref="A9:A12"/>
    <mergeCell ref="D9:D12"/>
    <mergeCell ref="I10:I12"/>
    <mergeCell ref="B9:B12"/>
    <mergeCell ref="C9:C12"/>
    <mergeCell ref="S15:S22"/>
    <mergeCell ref="F22:O22"/>
    <mergeCell ref="P237:S237"/>
    <mergeCell ref="P236:S236"/>
    <mergeCell ref="A237:D237"/>
    <mergeCell ref="F237:G237"/>
    <mergeCell ref="B234:S234"/>
    <mergeCell ref="H237:O237"/>
    <mergeCell ref="S224:S225"/>
    <mergeCell ref="S226:S227"/>
    <mergeCell ref="Q222:Q223"/>
    <mergeCell ref="R222:R223"/>
    <mergeCell ref="S222:S223"/>
    <mergeCell ref="F223:O223"/>
    <mergeCell ref="B222:B223"/>
    <mergeCell ref="A222:A223"/>
    <mergeCell ref="H242:O242"/>
    <mergeCell ref="A238:D238"/>
    <mergeCell ref="J13:M13"/>
    <mergeCell ref="N13:O13"/>
    <mergeCell ref="A242:D242"/>
    <mergeCell ref="F242:G242"/>
    <mergeCell ref="C222:C223"/>
    <mergeCell ref="D222:D223"/>
    <mergeCell ref="E222:E223"/>
    <mergeCell ref="A224:A225"/>
    <mergeCell ref="B224:B225"/>
    <mergeCell ref="C224:C225"/>
    <mergeCell ref="D224:D225"/>
    <mergeCell ref="E224:E225"/>
    <mergeCell ref="F225:O225"/>
    <mergeCell ref="A226:A227"/>
    <mergeCell ref="B226:B227"/>
    <mergeCell ref="C226:C227"/>
    <mergeCell ref="D226:D227"/>
    <mergeCell ref="E226:E227"/>
    <mergeCell ref="F227:O227"/>
    <mergeCell ref="E220:E221"/>
    <mergeCell ref="A48:A51"/>
    <mergeCell ref="B48:B51"/>
    <mergeCell ref="R220:R221"/>
    <mergeCell ref="S23:S30"/>
    <mergeCell ref="F80:O80"/>
    <mergeCell ref="E68:E75"/>
    <mergeCell ref="F30:O30"/>
    <mergeCell ref="F47:O47"/>
    <mergeCell ref="S39:S42"/>
    <mergeCell ref="F42:O42"/>
    <mergeCell ref="S145:S151"/>
    <mergeCell ref="F140:O140"/>
    <mergeCell ref="F144:O144"/>
    <mergeCell ref="S123:S124"/>
    <mergeCell ref="F124:O124"/>
    <mergeCell ref="E169:E180"/>
    <mergeCell ref="F180:O180"/>
    <mergeCell ref="S57:S61"/>
    <mergeCell ref="S48:S51"/>
    <mergeCell ref="S31:S38"/>
    <mergeCell ref="S68:S75"/>
    <mergeCell ref="S76:S80"/>
    <mergeCell ref="S85:S89"/>
    <mergeCell ref="S96:S99"/>
    <mergeCell ref="F206:O206"/>
    <mergeCell ref="F159:O159"/>
    <mergeCell ref="AB12:AC12"/>
    <mergeCell ref="Z12:AA12"/>
    <mergeCell ref="S9:S12"/>
    <mergeCell ref="E9:E12"/>
    <mergeCell ref="F9:P9"/>
    <mergeCell ref="F10:F12"/>
    <mergeCell ref="G10:G12"/>
    <mergeCell ref="Q9:R11"/>
    <mergeCell ref="P10:P12"/>
    <mergeCell ref="J10:M12"/>
    <mergeCell ref="N10:O11"/>
    <mergeCell ref="H10:H12"/>
    <mergeCell ref="F220:O220"/>
    <mergeCell ref="S220:S221"/>
    <mergeCell ref="F221:O221"/>
    <mergeCell ref="C48:C51"/>
    <mergeCell ref="D48:D51"/>
    <mergeCell ref="A52:A56"/>
    <mergeCell ref="B52:B56"/>
    <mergeCell ref="A220:A221"/>
    <mergeCell ref="B220:B221"/>
    <mergeCell ref="C220:C221"/>
    <mergeCell ref="D220:D221"/>
    <mergeCell ref="A76:A80"/>
    <mergeCell ref="B76:B80"/>
    <mergeCell ref="A68:A75"/>
    <mergeCell ref="B68:B75"/>
    <mergeCell ref="C68:C75"/>
    <mergeCell ref="D68:D75"/>
    <mergeCell ref="C52:C56"/>
    <mergeCell ref="A90:A95"/>
    <mergeCell ref="B90:B95"/>
    <mergeCell ref="F99:O99"/>
    <mergeCell ref="F51:O51"/>
    <mergeCell ref="Q220:Q221"/>
    <mergeCell ref="A96:A99"/>
    <mergeCell ref="F61:O61"/>
    <mergeCell ref="A57:A61"/>
    <mergeCell ref="B57:B61"/>
    <mergeCell ref="C57:C61"/>
    <mergeCell ref="D57:D61"/>
    <mergeCell ref="E57:E61"/>
    <mergeCell ref="D52:D56"/>
    <mergeCell ref="D43:D47"/>
    <mergeCell ref="E43:E47"/>
    <mergeCell ref="S100:S106"/>
    <mergeCell ref="F110:O110"/>
    <mergeCell ref="A107:A110"/>
    <mergeCell ref="B107:B110"/>
    <mergeCell ref="C107:C110"/>
    <mergeCell ref="D107:D110"/>
    <mergeCell ref="E107:E110"/>
    <mergeCell ref="S107:S110"/>
    <mergeCell ref="S111:S117"/>
    <mergeCell ref="A111:A117"/>
    <mergeCell ref="B111:B117"/>
    <mergeCell ref="F117:O117"/>
    <mergeCell ref="C111:C117"/>
    <mergeCell ref="D111:D117"/>
    <mergeCell ref="E111:E117"/>
    <mergeCell ref="F106:O106"/>
    <mergeCell ref="A100:A106"/>
    <mergeCell ref="B100:B106"/>
    <mergeCell ref="C100:C106"/>
    <mergeCell ref="D100:D106"/>
    <mergeCell ref="E100:E106"/>
    <mergeCell ref="F122:O122"/>
    <mergeCell ref="A118:A122"/>
    <mergeCell ref="B118:B122"/>
    <mergeCell ref="C118:C122"/>
    <mergeCell ref="D118:D122"/>
    <mergeCell ref="E118:E122"/>
    <mergeCell ref="S118:S122"/>
    <mergeCell ref="F129:O129"/>
    <mergeCell ref="A125:A129"/>
    <mergeCell ref="B125:B129"/>
    <mergeCell ref="C125:C129"/>
    <mergeCell ref="D125:D129"/>
    <mergeCell ref="E125:E129"/>
    <mergeCell ref="S125:S129"/>
    <mergeCell ref="A123:A124"/>
    <mergeCell ref="B123:B124"/>
    <mergeCell ref="C123:C124"/>
    <mergeCell ref="D123:D124"/>
    <mergeCell ref="E123:E124"/>
    <mergeCell ref="A136:A140"/>
    <mergeCell ref="B136:B140"/>
    <mergeCell ref="C136:C140"/>
    <mergeCell ref="S136:S140"/>
    <mergeCell ref="A158:A159"/>
    <mergeCell ref="B158:B159"/>
    <mergeCell ref="C158:C159"/>
    <mergeCell ref="D158:D159"/>
    <mergeCell ref="E158:E159"/>
    <mergeCell ref="S158:S159"/>
    <mergeCell ref="A141:A144"/>
    <mergeCell ref="B141:B144"/>
    <mergeCell ref="C141:C144"/>
    <mergeCell ref="D141:D144"/>
    <mergeCell ref="E141:E144"/>
    <mergeCell ref="A145:A151"/>
    <mergeCell ref="E152:E157"/>
    <mergeCell ref="B145:B151"/>
    <mergeCell ref="C145:C151"/>
    <mergeCell ref="D145:D151"/>
    <mergeCell ref="E145:E151"/>
    <mergeCell ref="S152:S157"/>
    <mergeCell ref="F157:O157"/>
    <mergeCell ref="S141:S144"/>
    <mergeCell ref="S163:S164"/>
    <mergeCell ref="F168:O168"/>
    <mergeCell ref="A165:A168"/>
    <mergeCell ref="B165:B168"/>
    <mergeCell ref="C165:C168"/>
    <mergeCell ref="D165:D168"/>
    <mergeCell ref="E165:E168"/>
    <mergeCell ref="S165:S168"/>
    <mergeCell ref="F164:O164"/>
    <mergeCell ref="D163:D164"/>
    <mergeCell ref="E163:E164"/>
    <mergeCell ref="S183:S189"/>
    <mergeCell ref="E201:E206"/>
    <mergeCell ref="S190:S193"/>
    <mergeCell ref="F198:O198"/>
    <mergeCell ref="A194:A198"/>
    <mergeCell ref="B194:B198"/>
    <mergeCell ref="C194:C198"/>
    <mergeCell ref="D194:D198"/>
    <mergeCell ref="E194:E198"/>
    <mergeCell ref="S194:S198"/>
    <mergeCell ref="F200:O200"/>
    <mergeCell ref="A199:A200"/>
    <mergeCell ref="B199:B200"/>
    <mergeCell ref="C199:C200"/>
    <mergeCell ref="D199:D200"/>
    <mergeCell ref="E199:E200"/>
    <mergeCell ref="S199:S200"/>
    <mergeCell ref="F193:O193"/>
    <mergeCell ref="A190:A193"/>
    <mergeCell ref="A201:A206"/>
    <mergeCell ref="E190:E193"/>
    <mergeCell ref="A169:A180"/>
    <mergeCell ref="B169:B180"/>
    <mergeCell ref="C169:C180"/>
    <mergeCell ref="D169:D180"/>
    <mergeCell ref="B201:B206"/>
    <mergeCell ref="C201:C206"/>
    <mergeCell ref="D201:D206"/>
    <mergeCell ref="A181:A182"/>
    <mergeCell ref="B181:B182"/>
    <mergeCell ref="C181:C182"/>
    <mergeCell ref="D181:D182"/>
    <mergeCell ref="A183:A189"/>
    <mergeCell ref="B183:B189"/>
    <mergeCell ref="C183:C189"/>
    <mergeCell ref="D183:D189"/>
  </mergeCells>
  <phoneticPr fontId="19" type="noConversion"/>
  <pageMargins left="0.5" right="0" top="0.4" bottom="0.25" header="0" footer="0"/>
  <pageSetup paperSize="9" scale="84" orientation="landscape" r:id="rId1"/>
  <headerFooter alignWithMargins="0"/>
  <colBreaks count="1" manualBreakCount="1">
    <brk id="19" max="1048575"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W30"/>
  <sheetViews>
    <sheetView topLeftCell="A10" zoomScale="85" zoomScaleNormal="85" workbookViewId="0">
      <selection activeCell="R22" sqref="R22"/>
    </sheetView>
  </sheetViews>
  <sheetFormatPr defaultColWidth="8.625" defaultRowHeight="17.25" x14ac:dyDescent="0.3"/>
  <cols>
    <col min="1" max="1" width="4.625" style="12" customWidth="1"/>
    <col min="2" max="2" width="29.125" customWidth="1"/>
    <col min="3" max="3" width="7.125" customWidth="1"/>
    <col min="4" max="4" width="5.375" customWidth="1"/>
    <col min="5" max="5" width="6.375" customWidth="1"/>
    <col min="6" max="6" width="6.625" customWidth="1"/>
    <col min="7" max="7" width="5.125" hidden="1" customWidth="1"/>
    <col min="8" max="9" width="4.375" customWidth="1"/>
    <col min="10" max="10" width="7.625" customWidth="1"/>
    <col min="11" max="11" width="7.875" customWidth="1"/>
    <col min="12" max="12" width="22.375" customWidth="1"/>
    <col min="13" max="13" width="10.375" customWidth="1"/>
    <col min="14" max="14" width="13.625" customWidth="1"/>
    <col min="15" max="16" width="3.375" customWidth="1"/>
    <col min="17" max="17" width="5.875" customWidth="1"/>
    <col min="18" max="18" width="10.375" customWidth="1"/>
    <col min="19" max="19" width="17" customWidth="1"/>
    <col min="20" max="20" width="9.375" customWidth="1"/>
    <col min="21" max="21" width="16" customWidth="1"/>
    <col min="22" max="22" width="14.375" customWidth="1"/>
  </cols>
  <sheetData>
    <row r="1" spans="1:23" ht="18" customHeight="1" x14ac:dyDescent="0.3">
      <c r="A1" s="380" t="s">
        <v>107</v>
      </c>
      <c r="B1" s="380"/>
      <c r="C1" s="380"/>
      <c r="D1" s="20"/>
      <c r="E1" s="18"/>
      <c r="G1" s="381" t="s">
        <v>12</v>
      </c>
      <c r="H1" s="381"/>
      <c r="I1" s="381"/>
      <c r="J1" s="381"/>
      <c r="K1" s="381"/>
      <c r="L1" s="381"/>
      <c r="M1" s="381"/>
      <c r="N1" s="381"/>
      <c r="O1" s="3"/>
      <c r="P1" s="3"/>
      <c r="Q1" s="3"/>
      <c r="R1" s="3"/>
      <c r="S1" s="3"/>
      <c r="T1" s="3"/>
      <c r="U1" s="3"/>
      <c r="V1" s="3"/>
      <c r="W1" s="3"/>
    </row>
    <row r="2" spans="1:23" ht="18" customHeight="1" x14ac:dyDescent="0.3">
      <c r="A2" s="583" t="s">
        <v>108</v>
      </c>
      <c r="B2" s="583"/>
      <c r="C2" s="583"/>
      <c r="D2" s="20"/>
      <c r="E2" s="18"/>
      <c r="G2" s="381" t="s">
        <v>25</v>
      </c>
      <c r="H2" s="381"/>
      <c r="I2" s="381"/>
      <c r="J2" s="381"/>
      <c r="K2" s="381"/>
      <c r="L2" s="381"/>
      <c r="M2" s="381"/>
      <c r="N2" s="381"/>
      <c r="O2" s="1"/>
      <c r="P2" s="1"/>
      <c r="Q2" s="1"/>
      <c r="R2" s="1"/>
      <c r="S2" s="1"/>
      <c r="T2" s="1"/>
      <c r="U2" s="1"/>
      <c r="V2" s="1"/>
      <c r="W2" s="1"/>
    </row>
    <row r="3" spans="1:23" ht="18" x14ac:dyDescent="0.3">
      <c r="A3" s="576" t="s">
        <v>0</v>
      </c>
      <c r="B3" s="576"/>
      <c r="C3" s="576"/>
      <c r="D3" s="3"/>
      <c r="E3" s="136"/>
      <c r="F3" s="3"/>
      <c r="G3" s="3"/>
      <c r="H3" s="3"/>
      <c r="I3" s="3"/>
      <c r="J3" s="3"/>
      <c r="K3" s="3"/>
      <c r="L3" s="3"/>
      <c r="M3" s="3"/>
      <c r="N3" s="3"/>
      <c r="O3" s="9"/>
      <c r="P3" s="9"/>
      <c r="Q3" s="9"/>
      <c r="R3" s="9"/>
    </row>
    <row r="4" spans="1:23" ht="24.75" customHeight="1" x14ac:dyDescent="0.3">
      <c r="A4" s="590" t="s">
        <v>342</v>
      </c>
      <c r="B4" s="590"/>
      <c r="C4" s="590"/>
      <c r="D4" s="3"/>
      <c r="E4" s="136"/>
      <c r="F4" s="3"/>
      <c r="G4" s="3"/>
      <c r="H4" s="3"/>
      <c r="I4" s="3"/>
      <c r="J4" s="3"/>
      <c r="K4" s="3"/>
      <c r="L4" s="3"/>
      <c r="M4" s="3"/>
      <c r="N4" s="3"/>
      <c r="O4" s="9"/>
      <c r="P4" s="9"/>
      <c r="Q4" s="9"/>
      <c r="R4" s="9"/>
    </row>
    <row r="5" spans="1:23" ht="18" customHeight="1" x14ac:dyDescent="0.3">
      <c r="G5" s="71"/>
      <c r="H5" s="382" t="s">
        <v>343</v>
      </c>
      <c r="I5" s="382"/>
      <c r="J5" s="382"/>
      <c r="K5" s="382"/>
      <c r="L5" s="382"/>
      <c r="M5" s="382"/>
      <c r="N5" s="382"/>
      <c r="O5" s="16"/>
      <c r="P5" s="16"/>
      <c r="Q5" s="16"/>
      <c r="R5" s="16"/>
      <c r="S5" s="4"/>
      <c r="T5" s="4"/>
      <c r="U5" s="4"/>
      <c r="V5" s="4"/>
      <c r="W5" s="4"/>
    </row>
    <row r="6" spans="1:23" ht="8.25" customHeight="1" x14ac:dyDescent="0.3">
      <c r="J6" s="137"/>
      <c r="K6" s="137"/>
      <c r="L6" s="137"/>
      <c r="M6" s="137"/>
      <c r="N6" s="137"/>
      <c r="O6" s="137"/>
      <c r="P6" s="137"/>
      <c r="Q6" s="137"/>
      <c r="R6" s="137"/>
      <c r="S6" s="4"/>
      <c r="T6" s="4"/>
      <c r="U6" s="4"/>
      <c r="V6" s="4"/>
      <c r="W6" s="4"/>
    </row>
    <row r="7" spans="1:23" ht="21" customHeight="1" x14ac:dyDescent="0.3">
      <c r="A7" s="595" t="s">
        <v>66</v>
      </c>
      <c r="B7" s="595"/>
      <c r="C7" s="595"/>
      <c r="D7" s="595"/>
      <c r="E7" s="595"/>
      <c r="F7" s="595"/>
      <c r="G7" s="595"/>
      <c r="H7" s="595"/>
      <c r="I7" s="595"/>
      <c r="J7" s="595"/>
      <c r="K7" s="595"/>
      <c r="L7" s="595"/>
      <c r="M7" s="595"/>
      <c r="N7" s="595"/>
      <c r="O7" s="3"/>
      <c r="P7" s="3"/>
      <c r="Q7" s="3"/>
      <c r="R7" s="3"/>
      <c r="S7" s="4"/>
      <c r="T7" s="4"/>
      <c r="U7" s="4"/>
      <c r="V7" s="4"/>
      <c r="W7" s="4"/>
    </row>
    <row r="8" spans="1:23" ht="19.5" customHeight="1" x14ac:dyDescent="0.3">
      <c r="A8" s="596" t="s">
        <v>86</v>
      </c>
      <c r="B8" s="596"/>
      <c r="C8" s="596"/>
      <c r="D8" s="596"/>
      <c r="E8" s="596"/>
      <c r="F8" s="596"/>
      <c r="G8" s="596"/>
      <c r="H8" s="596"/>
      <c r="I8" s="596"/>
      <c r="J8" s="596"/>
      <c r="K8" s="596"/>
      <c r="L8" s="596"/>
      <c r="M8" s="596"/>
      <c r="N8" s="596"/>
      <c r="O8" s="3"/>
      <c r="P8" s="3"/>
      <c r="Q8" s="3"/>
      <c r="R8" s="3"/>
      <c r="S8" s="4"/>
      <c r="T8" s="4"/>
      <c r="U8" s="4"/>
      <c r="V8" s="4"/>
      <c r="W8" s="4"/>
    </row>
    <row r="9" spans="1:23" ht="19.5" customHeight="1" x14ac:dyDescent="0.3">
      <c r="A9" s="596" t="s">
        <v>357</v>
      </c>
      <c r="B9" s="596"/>
      <c r="C9" s="596"/>
      <c r="D9" s="596"/>
      <c r="E9" s="596"/>
      <c r="F9" s="596"/>
      <c r="G9" s="596"/>
      <c r="H9" s="596"/>
      <c r="I9" s="596"/>
      <c r="J9" s="596"/>
      <c r="K9" s="596"/>
      <c r="L9" s="596"/>
      <c r="M9" s="596"/>
      <c r="N9" s="596"/>
      <c r="O9" s="3"/>
      <c r="P9" s="3"/>
      <c r="Q9" s="3"/>
      <c r="R9" s="3"/>
      <c r="S9" s="4"/>
      <c r="T9" s="4"/>
      <c r="U9" s="4"/>
      <c r="V9" s="4"/>
      <c r="W9" s="4"/>
    </row>
    <row r="10" spans="1:23" ht="14.25" customHeight="1" x14ac:dyDescent="0.3">
      <c r="A10" s="141"/>
      <c r="B10" s="3"/>
      <c r="C10" s="3"/>
      <c r="D10" s="3"/>
      <c r="E10" s="3"/>
      <c r="F10" s="3"/>
      <c r="G10" s="3"/>
      <c r="H10" s="3"/>
      <c r="I10" s="3"/>
      <c r="J10" s="3"/>
      <c r="K10" s="3"/>
      <c r="L10" s="3"/>
      <c r="M10" s="3"/>
      <c r="N10" s="3"/>
      <c r="O10" s="3"/>
      <c r="P10" s="3"/>
      <c r="Q10" s="3"/>
      <c r="R10" s="3"/>
      <c r="S10" s="4"/>
      <c r="T10" s="4"/>
      <c r="U10" s="4"/>
      <c r="V10" s="4"/>
      <c r="W10" s="4"/>
    </row>
    <row r="11" spans="1:23" ht="52.5" customHeight="1" x14ac:dyDescent="0.3">
      <c r="A11" s="597" t="s">
        <v>2</v>
      </c>
      <c r="B11" s="563" t="s">
        <v>7</v>
      </c>
      <c r="C11" s="563" t="s">
        <v>13</v>
      </c>
      <c r="D11" s="563" t="s">
        <v>88</v>
      </c>
      <c r="E11" s="598" t="s">
        <v>14</v>
      </c>
      <c r="F11" s="567" t="s">
        <v>15</v>
      </c>
      <c r="G11" s="568"/>
      <c r="H11" s="563" t="s">
        <v>16</v>
      </c>
      <c r="I11" s="563"/>
      <c r="J11" s="563" t="s">
        <v>102</v>
      </c>
      <c r="K11" s="588" t="s">
        <v>67</v>
      </c>
      <c r="L11" s="580"/>
      <c r="M11" s="589"/>
      <c r="N11" s="585" t="s">
        <v>24</v>
      </c>
      <c r="O11" s="144"/>
      <c r="P11" s="144"/>
      <c r="Q11" s="144"/>
      <c r="R11" s="144"/>
      <c r="S11" s="144"/>
      <c r="T11" s="144"/>
      <c r="U11" s="144"/>
      <c r="V11" s="144"/>
      <c r="W11" s="144"/>
    </row>
    <row r="12" spans="1:23" ht="31.5" x14ac:dyDescent="0.3">
      <c r="A12" s="597"/>
      <c r="B12" s="563"/>
      <c r="C12" s="563"/>
      <c r="D12" s="563"/>
      <c r="E12" s="598"/>
      <c r="F12" s="573"/>
      <c r="G12" s="575"/>
      <c r="H12" s="139">
        <v>1</v>
      </c>
      <c r="I12" s="139">
        <v>2</v>
      </c>
      <c r="J12" s="563"/>
      <c r="K12" s="140" t="s">
        <v>68</v>
      </c>
      <c r="L12" s="140" t="s">
        <v>69</v>
      </c>
      <c r="M12" s="140" t="s">
        <v>5</v>
      </c>
      <c r="N12" s="587"/>
      <c r="V12" s="6"/>
    </row>
    <row r="13" spans="1:23" ht="30.75" customHeight="1" x14ac:dyDescent="0.3">
      <c r="A13" s="301">
        <v>1</v>
      </c>
      <c r="B13" s="302" t="s">
        <v>164</v>
      </c>
      <c r="C13" s="301">
        <v>848028</v>
      </c>
      <c r="D13" s="301">
        <v>4</v>
      </c>
      <c r="E13" s="301">
        <v>75</v>
      </c>
      <c r="F13" s="303">
        <v>1</v>
      </c>
      <c r="G13" s="303"/>
      <c r="H13" s="303"/>
      <c r="I13" s="304">
        <v>1</v>
      </c>
      <c r="J13" s="301">
        <v>75</v>
      </c>
      <c r="K13" s="305">
        <v>11381</v>
      </c>
      <c r="L13" s="306" t="s">
        <v>165</v>
      </c>
      <c r="M13" s="305" t="s">
        <v>344</v>
      </c>
      <c r="N13" s="305" t="s">
        <v>345</v>
      </c>
      <c r="V13" s="6"/>
    </row>
    <row r="14" spans="1:23" ht="31.5" x14ac:dyDescent="0.3">
      <c r="A14" s="301">
        <v>2</v>
      </c>
      <c r="B14" s="302" t="s">
        <v>166</v>
      </c>
      <c r="C14" s="301">
        <v>848024</v>
      </c>
      <c r="D14" s="301">
        <v>3</v>
      </c>
      <c r="E14" s="301">
        <v>45</v>
      </c>
      <c r="F14" s="303">
        <v>1</v>
      </c>
      <c r="G14" s="303"/>
      <c r="H14" s="303"/>
      <c r="I14" s="304">
        <v>1</v>
      </c>
      <c r="J14" s="301">
        <v>45</v>
      </c>
      <c r="K14" s="305">
        <v>10944</v>
      </c>
      <c r="L14" s="307" t="s">
        <v>167</v>
      </c>
      <c r="M14" s="305" t="s">
        <v>346</v>
      </c>
      <c r="N14" s="305" t="s">
        <v>347</v>
      </c>
      <c r="V14" s="6"/>
    </row>
    <row r="15" spans="1:23" ht="18.75" customHeight="1" x14ac:dyDescent="0.3">
      <c r="A15" s="301">
        <v>3</v>
      </c>
      <c r="B15" s="302" t="s">
        <v>168</v>
      </c>
      <c r="C15" s="301">
        <v>848301</v>
      </c>
      <c r="D15" s="301">
        <v>2</v>
      </c>
      <c r="E15" s="301">
        <v>30</v>
      </c>
      <c r="F15" s="303">
        <v>1</v>
      </c>
      <c r="G15" s="303"/>
      <c r="H15" s="303"/>
      <c r="I15" s="304">
        <v>1</v>
      </c>
      <c r="J15" s="301">
        <v>30</v>
      </c>
      <c r="K15" s="305">
        <v>11381</v>
      </c>
      <c r="L15" s="306" t="s">
        <v>165</v>
      </c>
      <c r="M15" s="305" t="s">
        <v>344</v>
      </c>
      <c r="N15" s="305" t="s">
        <v>345</v>
      </c>
      <c r="V15" s="6"/>
    </row>
    <row r="16" spans="1:23" ht="30" customHeight="1" x14ac:dyDescent="0.3">
      <c r="A16" s="301">
        <v>4</v>
      </c>
      <c r="B16" s="302" t="s">
        <v>290</v>
      </c>
      <c r="C16" s="301">
        <v>848411</v>
      </c>
      <c r="D16" s="301">
        <v>4</v>
      </c>
      <c r="E16" s="301">
        <v>75</v>
      </c>
      <c r="F16" s="303">
        <v>1</v>
      </c>
      <c r="G16" s="303"/>
      <c r="H16" s="303"/>
      <c r="I16" s="304">
        <v>1</v>
      </c>
      <c r="J16" s="301">
        <v>75</v>
      </c>
      <c r="K16" s="305" t="s">
        <v>348</v>
      </c>
      <c r="L16" s="308" t="s">
        <v>349</v>
      </c>
      <c r="M16" s="305" t="s">
        <v>350</v>
      </c>
      <c r="N16" s="305" t="s">
        <v>345</v>
      </c>
      <c r="V16" s="6"/>
    </row>
    <row r="17" spans="1:22" ht="35.25" customHeight="1" x14ac:dyDescent="0.3">
      <c r="A17" s="146">
        <v>5</v>
      </c>
      <c r="B17" s="150" t="s">
        <v>141</v>
      </c>
      <c r="C17" s="139">
        <v>848002</v>
      </c>
      <c r="D17" s="139">
        <v>6</v>
      </c>
      <c r="E17" s="147">
        <v>90</v>
      </c>
      <c r="F17" s="139">
        <v>1</v>
      </c>
      <c r="G17" s="146"/>
      <c r="H17" s="139"/>
      <c r="I17" s="139">
        <v>1</v>
      </c>
      <c r="J17" s="139">
        <v>90</v>
      </c>
      <c r="K17" s="139">
        <v>11416</v>
      </c>
      <c r="L17" s="150" t="s">
        <v>251</v>
      </c>
      <c r="M17" s="139" t="s">
        <v>249</v>
      </c>
      <c r="N17" s="139" t="s">
        <v>252</v>
      </c>
      <c r="V17" s="6"/>
    </row>
    <row r="18" spans="1:22" ht="18.75" customHeight="1" x14ac:dyDescent="0.3">
      <c r="A18" s="146">
        <v>6</v>
      </c>
      <c r="B18" s="93" t="s">
        <v>126</v>
      </c>
      <c r="C18" s="92">
        <v>801306</v>
      </c>
      <c r="D18" s="151">
        <v>2</v>
      </c>
      <c r="E18" s="151">
        <v>30</v>
      </c>
      <c r="F18" s="151">
        <v>1</v>
      </c>
      <c r="G18" s="92"/>
      <c r="H18" s="152">
        <v>1</v>
      </c>
      <c r="I18" s="152"/>
      <c r="J18" s="152">
        <v>30</v>
      </c>
      <c r="K18" s="152">
        <v>10062</v>
      </c>
      <c r="L18" s="153" t="s">
        <v>143</v>
      </c>
      <c r="M18" s="152" t="s">
        <v>254</v>
      </c>
      <c r="N18" s="154" t="s">
        <v>253</v>
      </c>
      <c r="V18" s="8"/>
    </row>
    <row r="19" spans="1:22" ht="31.5" x14ac:dyDescent="0.3">
      <c r="A19" s="146">
        <v>7</v>
      </c>
      <c r="B19" s="155" t="s">
        <v>139</v>
      </c>
      <c r="C19" s="156">
        <v>801314</v>
      </c>
      <c r="D19" s="151">
        <v>3</v>
      </c>
      <c r="E19" s="151">
        <v>45</v>
      </c>
      <c r="F19" s="151">
        <v>1</v>
      </c>
      <c r="G19" s="156"/>
      <c r="H19" s="151"/>
      <c r="I19" s="151">
        <v>1</v>
      </c>
      <c r="J19" s="151">
        <v>45</v>
      </c>
      <c r="K19" s="151">
        <v>10167</v>
      </c>
      <c r="L19" s="157" t="s">
        <v>149</v>
      </c>
      <c r="M19" s="151" t="s">
        <v>202</v>
      </c>
      <c r="N19" s="158" t="s">
        <v>255</v>
      </c>
      <c r="V19" s="8"/>
    </row>
    <row r="20" spans="1:22" x14ac:dyDescent="0.3">
      <c r="A20" s="300">
        <v>8</v>
      </c>
      <c r="B20" s="155" t="s">
        <v>235</v>
      </c>
      <c r="C20" s="156">
        <v>867007</v>
      </c>
      <c r="D20" s="151">
        <v>3</v>
      </c>
      <c r="E20" s="151">
        <v>45</v>
      </c>
      <c r="F20" s="151">
        <v>3</v>
      </c>
      <c r="G20" s="156"/>
      <c r="H20" s="151">
        <v>3</v>
      </c>
      <c r="I20" s="151"/>
      <c r="J20" s="151">
        <v>135</v>
      </c>
      <c r="K20" s="151">
        <v>10155</v>
      </c>
      <c r="L20" s="157" t="s">
        <v>238</v>
      </c>
      <c r="M20" s="151" t="s">
        <v>202</v>
      </c>
      <c r="N20" s="158" t="s">
        <v>358</v>
      </c>
      <c r="V20" s="8"/>
    </row>
    <row r="21" spans="1:22" x14ac:dyDescent="0.3">
      <c r="A21" s="354">
        <v>9</v>
      </c>
      <c r="B21" s="276" t="s">
        <v>141</v>
      </c>
      <c r="C21" s="362">
        <v>848002</v>
      </c>
      <c r="D21" s="362">
        <v>6</v>
      </c>
      <c r="E21" s="362">
        <v>90</v>
      </c>
      <c r="F21" s="151">
        <v>1</v>
      </c>
      <c r="G21" s="156"/>
      <c r="H21" s="151"/>
      <c r="I21" s="151">
        <v>1</v>
      </c>
      <c r="J21" s="151">
        <v>30</v>
      </c>
      <c r="K21" s="591"/>
      <c r="L21" s="593" t="s">
        <v>391</v>
      </c>
      <c r="M21" s="591" t="s">
        <v>202</v>
      </c>
      <c r="N21" s="585"/>
      <c r="V21" s="8"/>
    </row>
    <row r="22" spans="1:22" x14ac:dyDescent="0.3">
      <c r="A22" s="354">
        <v>10</v>
      </c>
      <c r="B22" s="276" t="s">
        <v>185</v>
      </c>
      <c r="C22" s="363">
        <v>801404</v>
      </c>
      <c r="D22" s="363">
        <v>6</v>
      </c>
      <c r="E22" s="363">
        <v>90</v>
      </c>
      <c r="F22" s="151">
        <v>1</v>
      </c>
      <c r="G22" s="156"/>
      <c r="H22" s="151"/>
      <c r="I22" s="151">
        <v>1</v>
      </c>
      <c r="J22" s="151">
        <v>30</v>
      </c>
      <c r="K22" s="592"/>
      <c r="L22" s="594"/>
      <c r="M22" s="592"/>
      <c r="N22" s="587"/>
      <c r="V22" s="8"/>
    </row>
    <row r="23" spans="1:22" ht="36" customHeight="1" x14ac:dyDescent="0.3">
      <c r="V23" s="8"/>
    </row>
    <row r="24" spans="1:22" x14ac:dyDescent="0.3">
      <c r="A24" s="159"/>
      <c r="B24" s="8"/>
      <c r="C24" s="8"/>
      <c r="D24" s="8"/>
      <c r="E24" s="8"/>
      <c r="O24" s="145"/>
      <c r="P24" s="145"/>
    </row>
    <row r="25" spans="1:22" x14ac:dyDescent="0.3">
      <c r="A25" s="145" t="s">
        <v>95</v>
      </c>
      <c r="B25" s="145"/>
      <c r="C25" s="145"/>
      <c r="D25" s="145"/>
      <c r="E25" s="145"/>
      <c r="F25" s="145"/>
      <c r="G25" s="145"/>
      <c r="H25" s="145"/>
      <c r="I25" s="145"/>
      <c r="J25" s="145"/>
      <c r="K25" s="145"/>
      <c r="L25" s="145"/>
      <c r="M25" s="145"/>
      <c r="N25" s="145"/>
      <c r="O25" s="64"/>
      <c r="P25" s="64"/>
    </row>
    <row r="26" spans="1:22" x14ac:dyDescent="0.3">
      <c r="A26" s="64"/>
      <c r="B26" s="64"/>
      <c r="C26" s="64"/>
      <c r="D26" s="64"/>
      <c r="E26" s="64"/>
      <c r="F26" s="64"/>
      <c r="G26" s="64"/>
      <c r="H26" s="64"/>
      <c r="I26" s="64"/>
      <c r="J26" s="64"/>
      <c r="K26" s="64"/>
      <c r="L26" s="64"/>
      <c r="M26" s="64"/>
      <c r="N26" s="64"/>
      <c r="O26" s="64"/>
      <c r="P26" s="64"/>
    </row>
    <row r="27" spans="1:22" x14ac:dyDescent="0.3">
      <c r="A27" s="64"/>
      <c r="B27" s="64"/>
      <c r="C27" s="64"/>
      <c r="D27" s="64"/>
      <c r="E27" s="64"/>
      <c r="F27" s="64"/>
      <c r="G27" s="64"/>
      <c r="H27" s="64"/>
      <c r="I27" s="64"/>
      <c r="J27" s="64"/>
      <c r="K27" s="64"/>
      <c r="L27" s="64"/>
      <c r="M27" s="64"/>
      <c r="N27" s="64"/>
      <c r="O27" s="64"/>
      <c r="P27" s="64"/>
    </row>
    <row r="28" spans="1:22" x14ac:dyDescent="0.3">
      <c r="A28" s="64"/>
      <c r="B28" s="64"/>
      <c r="C28" s="64"/>
      <c r="D28" s="64"/>
      <c r="E28" s="64"/>
      <c r="F28" s="64"/>
      <c r="G28" s="64"/>
      <c r="H28" s="64"/>
      <c r="I28" s="64"/>
      <c r="J28" s="64"/>
      <c r="K28" s="64"/>
      <c r="L28" s="64"/>
      <c r="M28" s="64"/>
      <c r="N28" s="64"/>
      <c r="O28" s="64"/>
      <c r="P28" s="64"/>
    </row>
    <row r="29" spans="1:22" x14ac:dyDescent="0.3">
      <c r="A29" s="64"/>
      <c r="B29" s="64"/>
      <c r="C29" s="64"/>
      <c r="D29" s="64"/>
      <c r="E29" s="64"/>
      <c r="F29" s="64"/>
      <c r="G29" s="64"/>
      <c r="H29" s="64"/>
      <c r="I29" s="64"/>
      <c r="J29" s="64"/>
      <c r="K29" s="64"/>
      <c r="L29" s="64"/>
      <c r="M29" s="64"/>
      <c r="N29" s="64"/>
      <c r="O29" s="145"/>
      <c r="P29" s="145"/>
    </row>
    <row r="30" spans="1:22" x14ac:dyDescent="0.3">
      <c r="A30" s="145" t="s">
        <v>115</v>
      </c>
      <c r="B30" s="145"/>
      <c r="C30" s="145"/>
      <c r="D30" s="145"/>
      <c r="E30" s="145"/>
      <c r="F30" s="145"/>
      <c r="G30" s="145"/>
      <c r="H30" s="145"/>
      <c r="I30" s="145"/>
      <c r="J30" s="145"/>
      <c r="K30" s="145"/>
      <c r="L30" s="145"/>
      <c r="M30" s="145"/>
      <c r="N30" s="145"/>
    </row>
  </sheetData>
  <mergeCells count="24">
    <mergeCell ref="K21:K22"/>
    <mergeCell ref="L21:L22"/>
    <mergeCell ref="M21:M22"/>
    <mergeCell ref="N21:N22"/>
    <mergeCell ref="H5:N5"/>
    <mergeCell ref="A7:N7"/>
    <mergeCell ref="A8:N8"/>
    <mergeCell ref="A9:N9"/>
    <mergeCell ref="A11:A12"/>
    <mergeCell ref="B11:B12"/>
    <mergeCell ref="C11:C12"/>
    <mergeCell ref="D11:D12"/>
    <mergeCell ref="E11:E12"/>
    <mergeCell ref="F11:G12"/>
    <mergeCell ref="H11:I11"/>
    <mergeCell ref="J11:J12"/>
    <mergeCell ref="K11:M11"/>
    <mergeCell ref="N11:N12"/>
    <mergeCell ref="A4:C4"/>
    <mergeCell ref="A1:C1"/>
    <mergeCell ref="G1:N1"/>
    <mergeCell ref="A2:C2"/>
    <mergeCell ref="G2:N2"/>
    <mergeCell ref="A3:C3"/>
  </mergeCells>
  <pageMargins left="0.7" right="0" top="0.32" bottom="0.18" header="0.35" footer="0.2"/>
  <pageSetup paperSize="9" scale="95" orientation="landscape"/>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Q31"/>
  <sheetViews>
    <sheetView topLeftCell="C1" zoomScale="85" zoomScaleNormal="85" zoomScaleSheetLayoutView="130" workbookViewId="0">
      <selection activeCell="O13" sqref="O13"/>
    </sheetView>
  </sheetViews>
  <sheetFormatPr defaultColWidth="8.625" defaultRowHeight="17.25" x14ac:dyDescent="0.3"/>
  <cols>
    <col min="1" max="1" width="5" customWidth="1"/>
    <col min="2" max="2" width="25.5" customWidth="1"/>
    <col min="3" max="3" width="9.375" customWidth="1"/>
    <col min="4" max="4" width="12.75" customWidth="1"/>
    <col min="5" max="5" width="13.125" customWidth="1"/>
    <col min="6" max="6" width="25.375" customWidth="1"/>
    <col min="7" max="7" width="24.75" customWidth="1"/>
    <col min="8" max="8" width="12.125" customWidth="1"/>
    <col min="9" max="9" width="14.25" customWidth="1"/>
    <col min="10" max="10" width="10.75" customWidth="1"/>
    <col min="11" max="11" width="7.875" customWidth="1"/>
    <col min="12" max="12" width="3.875" hidden="1" customWidth="1"/>
    <col min="13" max="13" width="9" customWidth="1"/>
    <col min="14" max="14" width="8.5" customWidth="1"/>
    <col min="15" max="15" width="16" customWidth="1"/>
  </cols>
  <sheetData>
    <row r="1" spans="1:17" s="17" customFormat="1" ht="18" customHeight="1" x14ac:dyDescent="0.3">
      <c r="A1" s="600" t="s">
        <v>107</v>
      </c>
      <c r="B1" s="600"/>
      <c r="C1" s="600"/>
      <c r="D1" s="600"/>
      <c r="E1" s="160"/>
      <c r="F1" s="160"/>
      <c r="G1" s="601" t="s">
        <v>256</v>
      </c>
      <c r="H1" s="601"/>
      <c r="I1" s="601"/>
      <c r="J1" s="601"/>
      <c r="K1" s="601"/>
      <c r="L1" s="601"/>
      <c r="M1" s="601"/>
      <c r="N1" s="601"/>
      <c r="O1" s="601"/>
      <c r="P1" s="161"/>
      <c r="Q1" s="160"/>
    </row>
    <row r="2" spans="1:17" s="17" customFormat="1" ht="18" customHeight="1" x14ac:dyDescent="0.3">
      <c r="A2" s="600" t="s">
        <v>108</v>
      </c>
      <c r="B2" s="600"/>
      <c r="C2" s="600"/>
      <c r="D2" s="600"/>
      <c r="E2" s="160"/>
      <c r="F2" s="160"/>
      <c r="G2" s="601" t="s">
        <v>25</v>
      </c>
      <c r="H2" s="601"/>
      <c r="I2" s="601"/>
      <c r="J2" s="601"/>
      <c r="K2" s="601"/>
      <c r="L2" s="601"/>
      <c r="M2" s="601"/>
      <c r="N2" s="601"/>
      <c r="O2" s="601"/>
      <c r="P2" s="160"/>
      <c r="Q2" s="160"/>
    </row>
    <row r="3" spans="1:17" ht="20.25" x14ac:dyDescent="0.3">
      <c r="A3" s="595" t="s">
        <v>0</v>
      </c>
      <c r="B3" s="595"/>
      <c r="C3" s="595"/>
      <c r="D3" s="595"/>
      <c r="E3" s="4"/>
      <c r="F3" s="4"/>
      <c r="G3" s="4"/>
      <c r="H3" s="162"/>
      <c r="I3" s="162"/>
      <c r="J3" s="162"/>
      <c r="K3" s="162"/>
      <c r="L3" s="162"/>
      <c r="M3" s="162"/>
      <c r="N3" s="162"/>
      <c r="O3" s="162"/>
      <c r="P3" s="162"/>
      <c r="Q3" s="162"/>
    </row>
    <row r="4" spans="1:17" ht="24.75" customHeight="1" x14ac:dyDescent="0.3">
      <c r="A4" s="595" t="s">
        <v>257</v>
      </c>
      <c r="B4" s="595"/>
      <c r="C4" s="595"/>
      <c r="D4" s="595"/>
      <c r="E4" s="4"/>
      <c r="F4" s="4"/>
      <c r="G4" s="599" t="s">
        <v>356</v>
      </c>
      <c r="H4" s="599"/>
      <c r="I4" s="599"/>
      <c r="J4" s="599"/>
      <c r="K4" s="599"/>
      <c r="L4" s="599"/>
      <c r="M4" s="599"/>
      <c r="N4" s="599"/>
      <c r="O4" s="599"/>
      <c r="P4" s="162"/>
      <c r="Q4" s="162"/>
    </row>
    <row r="5" spans="1:17" ht="10.5" customHeight="1" x14ac:dyDescent="0.3">
      <c r="A5" s="144"/>
      <c r="B5" s="144"/>
      <c r="C5" s="144"/>
      <c r="D5" s="144"/>
      <c r="E5" s="144"/>
      <c r="F5" s="144"/>
      <c r="G5" s="144"/>
      <c r="H5" s="144"/>
      <c r="I5" s="144"/>
      <c r="J5" s="144"/>
      <c r="K5" s="144"/>
      <c r="L5" s="144"/>
      <c r="M5" s="162"/>
      <c r="N5" s="162"/>
      <c r="O5" s="162"/>
      <c r="P5" s="162"/>
      <c r="Q5" s="162"/>
    </row>
    <row r="6" spans="1:17" ht="6" customHeight="1" x14ac:dyDescent="0.3">
      <c r="A6" s="144"/>
      <c r="B6" s="144"/>
      <c r="C6" s="144"/>
      <c r="D6" s="144"/>
      <c r="E6" s="144"/>
      <c r="F6" s="144"/>
      <c r="G6" s="162"/>
      <c r="H6" s="602"/>
      <c r="I6" s="602"/>
      <c r="J6" s="602"/>
      <c r="K6" s="602"/>
      <c r="L6" s="602"/>
      <c r="M6" s="602"/>
      <c r="N6" s="602"/>
      <c r="O6" s="602"/>
      <c r="P6" s="162"/>
      <c r="Q6" s="162"/>
    </row>
    <row r="7" spans="1:17" ht="20.25" customHeight="1" x14ac:dyDescent="0.3">
      <c r="A7" s="603" t="s">
        <v>19</v>
      </c>
      <c r="B7" s="603"/>
      <c r="C7" s="603"/>
      <c r="D7" s="603"/>
      <c r="E7" s="603"/>
      <c r="F7" s="603"/>
      <c r="G7" s="603"/>
      <c r="H7" s="603"/>
      <c r="I7" s="603"/>
      <c r="J7" s="603"/>
      <c r="K7" s="603"/>
      <c r="L7" s="603"/>
      <c r="M7" s="603"/>
      <c r="N7" s="603"/>
      <c r="O7" s="603"/>
      <c r="P7" s="4"/>
      <c r="Q7" s="162"/>
    </row>
    <row r="8" spans="1:17" ht="20.100000000000001" customHeight="1" x14ac:dyDescent="0.3">
      <c r="A8" s="603" t="s">
        <v>315</v>
      </c>
      <c r="B8" s="603"/>
      <c r="C8" s="603"/>
      <c r="D8" s="603"/>
      <c r="E8" s="603"/>
      <c r="F8" s="603"/>
      <c r="G8" s="603"/>
      <c r="H8" s="603"/>
      <c r="I8" s="603"/>
      <c r="J8" s="603"/>
      <c r="K8" s="603"/>
      <c r="L8" s="603"/>
      <c r="M8" s="603"/>
      <c r="N8" s="603"/>
      <c r="O8" s="603"/>
      <c r="P8" s="4"/>
      <c r="Q8" s="162"/>
    </row>
    <row r="9" spans="1:17" ht="9.75" customHeight="1" x14ac:dyDescent="0.3">
      <c r="A9" s="144"/>
      <c r="B9" s="144"/>
      <c r="C9" s="144"/>
      <c r="D9" s="144"/>
      <c r="E9" s="144"/>
      <c r="F9" s="144"/>
      <c r="G9" s="144"/>
      <c r="H9" s="144"/>
      <c r="I9" s="144"/>
      <c r="J9" s="144"/>
      <c r="K9" s="144"/>
      <c r="L9" s="144"/>
      <c r="M9" s="144"/>
      <c r="N9" s="144"/>
      <c r="O9" s="144"/>
      <c r="P9" s="144"/>
      <c r="Q9" s="162"/>
    </row>
    <row r="10" spans="1:17" ht="20.25" customHeight="1" x14ac:dyDescent="0.3">
      <c r="A10" s="604" t="s">
        <v>2</v>
      </c>
      <c r="B10" s="605" t="s">
        <v>20</v>
      </c>
      <c r="C10" s="606"/>
      <c r="D10" s="606"/>
      <c r="E10" s="606"/>
      <c r="F10" s="607"/>
      <c r="G10" s="605" t="s">
        <v>21</v>
      </c>
      <c r="H10" s="606"/>
      <c r="I10" s="606"/>
      <c r="J10" s="606"/>
      <c r="K10" s="606"/>
      <c r="L10" s="606"/>
      <c r="M10" s="606"/>
      <c r="N10" s="606"/>
      <c r="O10" s="604" t="s">
        <v>70</v>
      </c>
      <c r="P10" s="162"/>
      <c r="Q10" s="162"/>
    </row>
    <row r="11" spans="1:17" ht="66.75" customHeight="1" x14ac:dyDescent="0.3">
      <c r="A11" s="604"/>
      <c r="B11" s="604" t="s">
        <v>3</v>
      </c>
      <c r="C11" s="608" t="s">
        <v>4</v>
      </c>
      <c r="D11" s="604" t="s">
        <v>22</v>
      </c>
      <c r="E11" s="604" t="s">
        <v>23</v>
      </c>
      <c r="F11" s="604" t="s">
        <v>24</v>
      </c>
      <c r="G11" s="604" t="s">
        <v>7</v>
      </c>
      <c r="H11" s="608" t="s">
        <v>13</v>
      </c>
      <c r="I11" s="604" t="s">
        <v>72</v>
      </c>
      <c r="J11" s="608" t="s">
        <v>8</v>
      </c>
      <c r="K11" s="611" t="s">
        <v>18</v>
      </c>
      <c r="L11" s="612"/>
      <c r="M11" s="604" t="s">
        <v>10</v>
      </c>
      <c r="N11" s="604"/>
      <c r="O11" s="604"/>
      <c r="P11" s="162"/>
      <c r="Q11" s="162"/>
    </row>
    <row r="12" spans="1:17" ht="31.5" customHeight="1" x14ac:dyDescent="0.3">
      <c r="A12" s="604"/>
      <c r="B12" s="604"/>
      <c r="C12" s="609"/>
      <c r="D12" s="604"/>
      <c r="E12" s="604"/>
      <c r="F12" s="604"/>
      <c r="G12" s="604"/>
      <c r="H12" s="609"/>
      <c r="I12" s="604"/>
      <c r="J12" s="609"/>
      <c r="K12" s="613"/>
      <c r="L12" s="614"/>
      <c r="M12" s="163">
        <v>1</v>
      </c>
      <c r="N12" s="163">
        <v>2</v>
      </c>
      <c r="O12" s="604"/>
      <c r="P12" s="162"/>
      <c r="Q12" s="162"/>
    </row>
    <row r="13" spans="1:17" ht="92.25" customHeight="1" x14ac:dyDescent="0.3">
      <c r="A13" s="164">
        <v>1</v>
      </c>
      <c r="B13" s="164" t="s">
        <v>194</v>
      </c>
      <c r="C13" s="163">
        <v>1964</v>
      </c>
      <c r="D13" s="164" t="s">
        <v>142</v>
      </c>
      <c r="E13" s="163" t="s">
        <v>258</v>
      </c>
      <c r="F13" s="163" t="s">
        <v>259</v>
      </c>
      <c r="G13" s="163" t="s">
        <v>260</v>
      </c>
      <c r="H13" s="163">
        <v>801046</v>
      </c>
      <c r="I13" s="163">
        <v>4</v>
      </c>
      <c r="J13" s="164">
        <v>60</v>
      </c>
      <c r="K13" s="164">
        <v>3</v>
      </c>
      <c r="L13" s="164"/>
      <c r="M13" s="164">
        <v>1</v>
      </c>
      <c r="N13" s="164">
        <v>2</v>
      </c>
      <c r="O13" s="164">
        <v>180</v>
      </c>
      <c r="P13" s="162"/>
      <c r="Q13" s="162"/>
    </row>
    <row r="14" spans="1:17" ht="19.5" customHeight="1" x14ac:dyDescent="0.3">
      <c r="A14" s="162"/>
      <c r="B14" s="162"/>
      <c r="C14" s="162"/>
      <c r="D14" s="162"/>
      <c r="E14" s="162"/>
      <c r="F14" s="162"/>
      <c r="G14" s="162"/>
      <c r="H14" s="162"/>
      <c r="I14" s="615"/>
      <c r="J14" s="615"/>
      <c r="K14" s="615"/>
      <c r="L14" s="615"/>
      <c r="M14" s="615"/>
      <c r="N14" s="615"/>
      <c r="O14" s="615"/>
      <c r="P14" s="162"/>
      <c r="Q14" s="162"/>
    </row>
    <row r="15" spans="1:17" ht="19.5" customHeight="1" x14ac:dyDescent="0.3">
      <c r="A15" s="162"/>
      <c r="B15" s="162"/>
      <c r="C15" s="162"/>
      <c r="D15" s="162"/>
      <c r="E15" s="162"/>
      <c r="F15" s="162"/>
      <c r="G15" s="162"/>
      <c r="H15" s="162"/>
      <c r="I15" s="615" t="s">
        <v>62</v>
      </c>
      <c r="J15" s="615"/>
      <c r="K15" s="615"/>
      <c r="L15" s="615"/>
      <c r="M15" s="615"/>
      <c r="N15" s="615"/>
      <c r="O15" s="615"/>
      <c r="P15" s="162"/>
      <c r="Q15" s="162"/>
    </row>
    <row r="16" spans="1:17" ht="19.5" customHeight="1" x14ac:dyDescent="0.3">
      <c r="A16" s="610" t="s">
        <v>351</v>
      </c>
      <c r="B16" s="610"/>
      <c r="C16" s="610"/>
      <c r="D16" s="610"/>
      <c r="E16" s="610"/>
      <c r="F16" s="610"/>
      <c r="G16" s="610"/>
      <c r="H16" s="610"/>
      <c r="I16" s="610"/>
      <c r="J16" s="610"/>
      <c r="K16" s="610"/>
      <c r="L16" s="610"/>
      <c r="M16" s="610"/>
      <c r="N16" s="610"/>
      <c r="O16" s="610"/>
      <c r="P16" s="162"/>
      <c r="Q16" s="162"/>
    </row>
    <row r="17" spans="1:17" ht="19.5" customHeight="1" x14ac:dyDescent="0.3">
      <c r="A17" s="162"/>
      <c r="B17" s="162"/>
      <c r="C17" s="162"/>
      <c r="D17" s="162"/>
      <c r="E17" s="162"/>
      <c r="F17" s="162"/>
      <c r="G17" s="162"/>
      <c r="H17" s="162"/>
      <c r="I17" s="162"/>
      <c r="J17" s="162"/>
      <c r="K17" s="162"/>
      <c r="L17" s="162"/>
      <c r="M17" s="162"/>
      <c r="N17" s="162"/>
      <c r="O17" s="162"/>
      <c r="P17" s="162"/>
      <c r="Q17" s="162"/>
    </row>
    <row r="18" spans="1:17" ht="19.5" customHeight="1" x14ac:dyDescent="0.3">
      <c r="A18" s="162"/>
      <c r="B18" s="162"/>
      <c r="C18" s="162"/>
      <c r="D18" s="162"/>
      <c r="E18" s="162"/>
      <c r="F18" s="162"/>
      <c r="G18" s="162"/>
      <c r="H18" s="162"/>
      <c r="I18" s="162"/>
      <c r="J18" s="162"/>
      <c r="K18" s="162"/>
      <c r="L18" s="162"/>
      <c r="M18" s="162"/>
      <c r="N18" s="162"/>
      <c r="O18" s="162"/>
      <c r="P18" s="162"/>
      <c r="Q18" s="162"/>
    </row>
    <row r="19" spans="1:17" ht="19.5" customHeight="1" x14ac:dyDescent="0.3">
      <c r="A19" s="162"/>
      <c r="B19" s="162"/>
      <c r="C19" s="162"/>
      <c r="D19" s="162"/>
      <c r="E19" s="162"/>
      <c r="F19" s="162"/>
      <c r="G19" s="162"/>
      <c r="H19" s="162"/>
      <c r="I19" s="162"/>
      <c r="J19" s="162"/>
      <c r="K19" s="162"/>
      <c r="L19" s="162"/>
      <c r="M19" s="162"/>
      <c r="N19" s="162"/>
      <c r="O19" s="162"/>
      <c r="P19" s="162"/>
      <c r="Q19" s="162"/>
    </row>
    <row r="20" spans="1:17" ht="19.5" customHeight="1" x14ac:dyDescent="0.3">
      <c r="A20" s="162"/>
      <c r="B20" s="162"/>
      <c r="C20" s="162"/>
      <c r="D20" s="162"/>
      <c r="E20" s="162"/>
      <c r="F20" s="162"/>
      <c r="G20" s="162"/>
      <c r="H20" s="162"/>
      <c r="I20" s="162"/>
      <c r="J20" s="162"/>
      <c r="K20" s="162"/>
      <c r="L20" s="162"/>
      <c r="M20" s="162"/>
      <c r="N20" s="162"/>
      <c r="O20" s="162"/>
      <c r="P20" s="162"/>
      <c r="Q20" s="162"/>
    </row>
    <row r="21" spans="1:17" ht="19.5" customHeight="1" x14ac:dyDescent="0.3">
      <c r="A21" s="162"/>
      <c r="B21" s="162"/>
      <c r="C21" s="162"/>
      <c r="D21" s="162"/>
      <c r="E21" s="162"/>
      <c r="F21" s="162"/>
      <c r="G21" s="162"/>
      <c r="H21" s="162"/>
      <c r="I21" s="162"/>
      <c r="J21" s="162"/>
      <c r="K21" s="162"/>
      <c r="L21" s="162"/>
      <c r="M21" s="162"/>
      <c r="N21" s="162"/>
      <c r="O21" s="162"/>
      <c r="P21" s="162"/>
      <c r="Q21" s="162"/>
    </row>
    <row r="22" spans="1:17" ht="28.5" customHeight="1" x14ac:dyDescent="0.3">
      <c r="A22" s="610" t="s">
        <v>352</v>
      </c>
      <c r="B22" s="610"/>
      <c r="C22" s="610"/>
      <c r="D22" s="610"/>
      <c r="E22" s="610"/>
      <c r="F22" s="610"/>
      <c r="G22" s="610"/>
      <c r="H22" s="610"/>
      <c r="I22" s="610"/>
      <c r="J22" s="610"/>
      <c r="K22" s="610"/>
      <c r="L22" s="610"/>
      <c r="M22" s="610"/>
      <c r="N22" s="610"/>
      <c r="O22" s="610"/>
      <c r="P22" s="162"/>
      <c r="Q22" s="162"/>
    </row>
    <row r="23" spans="1:17" ht="20.25" customHeight="1" x14ac:dyDescent="0.3">
      <c r="A23" s="162"/>
      <c r="B23" s="162"/>
      <c r="C23" s="162"/>
      <c r="D23" s="162"/>
      <c r="E23" s="162"/>
      <c r="F23" s="162"/>
      <c r="G23" s="162"/>
      <c r="H23" s="162"/>
      <c r="I23" s="162"/>
      <c r="J23" s="162"/>
      <c r="K23" s="162"/>
      <c r="L23" s="162"/>
      <c r="M23" s="162"/>
      <c r="N23" s="162"/>
      <c r="O23" s="162"/>
      <c r="P23" s="162"/>
      <c r="Q23" s="162"/>
    </row>
    <row r="24" spans="1:17" ht="20.25" x14ac:dyDescent="0.3">
      <c r="P24" s="162"/>
      <c r="Q24" s="162"/>
    </row>
    <row r="25" spans="1:17" ht="20.25" x14ac:dyDescent="0.3">
      <c r="P25" s="162"/>
      <c r="Q25" s="162"/>
    </row>
    <row r="26" spans="1:17" ht="20.25" x14ac:dyDescent="0.3">
      <c r="P26" s="162"/>
      <c r="Q26" s="162"/>
    </row>
    <row r="27" spans="1:17" ht="20.25" x14ac:dyDescent="0.3">
      <c r="P27" s="162"/>
      <c r="Q27" s="162"/>
    </row>
    <row r="28" spans="1:17" ht="20.25" x14ac:dyDescent="0.3">
      <c r="P28" s="162"/>
      <c r="Q28" s="162"/>
    </row>
    <row r="29" spans="1:17" ht="9" customHeight="1" x14ac:dyDescent="0.3">
      <c r="P29" s="162"/>
      <c r="Q29" s="162"/>
    </row>
    <row r="30" spans="1:17" ht="20.25" x14ac:dyDescent="0.3">
      <c r="P30" s="162"/>
      <c r="Q30" s="162"/>
    </row>
    <row r="31" spans="1:17" ht="20.25" x14ac:dyDescent="0.3">
      <c r="P31" s="162"/>
      <c r="Q31" s="162"/>
    </row>
  </sheetData>
  <mergeCells count="29">
    <mergeCell ref="A22:O22"/>
    <mergeCell ref="E11:E12"/>
    <mergeCell ref="F11:F12"/>
    <mergeCell ref="G11:G12"/>
    <mergeCell ref="H11:H12"/>
    <mergeCell ref="I11:I12"/>
    <mergeCell ref="J11:J12"/>
    <mergeCell ref="K11:L12"/>
    <mergeCell ref="M11:N11"/>
    <mergeCell ref="I14:O14"/>
    <mergeCell ref="I15:O15"/>
    <mergeCell ref="A16:O16"/>
    <mergeCell ref="H6:O6"/>
    <mergeCell ref="A7:O7"/>
    <mergeCell ref="A8:O8"/>
    <mergeCell ref="A10:A12"/>
    <mergeCell ref="B10:F10"/>
    <mergeCell ref="G10:N10"/>
    <mergeCell ref="O10:O12"/>
    <mergeCell ref="B11:B12"/>
    <mergeCell ref="C11:C12"/>
    <mergeCell ref="D11:D12"/>
    <mergeCell ref="A4:D4"/>
    <mergeCell ref="G4:O4"/>
    <mergeCell ref="A1:D1"/>
    <mergeCell ref="G1:O1"/>
    <mergeCell ref="A2:D2"/>
    <mergeCell ref="G2:O2"/>
    <mergeCell ref="A3:D3"/>
  </mergeCells>
  <pageMargins left="1" right="0" top="0.4" bottom="0.03" header="0.27" footer="0.24"/>
  <pageSetup paperSize="9" scale="94" orientation="landscape"/>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N48"/>
  <sheetViews>
    <sheetView zoomScaleNormal="100" zoomScaleSheetLayoutView="85" workbookViewId="0">
      <selection activeCell="B11" sqref="B11"/>
    </sheetView>
  </sheetViews>
  <sheetFormatPr defaultColWidth="8.625" defaultRowHeight="17.25" x14ac:dyDescent="0.3"/>
  <cols>
    <col min="1" max="1" width="8.375" customWidth="1"/>
    <col min="2" max="2" width="39.375" customWidth="1"/>
    <col min="3" max="3" width="25.375" customWidth="1"/>
    <col min="4" max="4" width="7.375" customWidth="1"/>
    <col min="5" max="5" width="7.375" hidden="1" customWidth="1"/>
    <col min="6" max="6" width="8.125" customWidth="1"/>
    <col min="7" max="7" width="10.375" customWidth="1"/>
    <col min="8" max="8" width="11.625" customWidth="1"/>
    <col min="9" max="9" width="7.375" hidden="1" customWidth="1"/>
    <col min="10" max="10" width="7.375" customWidth="1"/>
    <col min="11" max="11" width="20" customWidth="1"/>
    <col min="12" max="12" width="22.375" customWidth="1"/>
    <col min="13" max="13" width="14.375" hidden="1" customWidth="1"/>
  </cols>
  <sheetData>
    <row r="1" spans="1:14" ht="20.100000000000001" customHeight="1" x14ac:dyDescent="0.3">
      <c r="A1" s="616" t="s">
        <v>107</v>
      </c>
      <c r="B1" s="616"/>
      <c r="C1" s="379" t="s">
        <v>12</v>
      </c>
      <c r="D1" s="379"/>
      <c r="E1" s="379"/>
      <c r="F1" s="379"/>
      <c r="G1" s="379"/>
      <c r="H1" s="379"/>
      <c r="I1" s="379"/>
      <c r="J1" s="136"/>
    </row>
    <row r="2" spans="1:14" ht="15" customHeight="1" x14ac:dyDescent="0.3">
      <c r="A2" s="583" t="s">
        <v>108</v>
      </c>
      <c r="B2" s="583"/>
      <c r="C2" s="617" t="s">
        <v>25</v>
      </c>
      <c r="D2" s="617"/>
      <c r="E2" s="617"/>
      <c r="F2" s="617"/>
      <c r="G2" s="617"/>
      <c r="H2" s="617"/>
      <c r="I2" s="617"/>
      <c r="J2" s="148"/>
    </row>
    <row r="3" spans="1:14" x14ac:dyDescent="0.3">
      <c r="A3" s="379" t="s">
        <v>0</v>
      </c>
      <c r="B3" s="379"/>
      <c r="C3" s="382"/>
      <c r="D3" s="382"/>
      <c r="E3" s="382"/>
      <c r="F3" s="382"/>
      <c r="G3" s="382"/>
      <c r="H3" s="382"/>
      <c r="I3" s="382"/>
      <c r="J3" s="142"/>
    </row>
    <row r="4" spans="1:14" x14ac:dyDescent="0.3">
      <c r="A4" s="143"/>
      <c r="B4" s="143"/>
      <c r="C4" s="382" t="s">
        <v>355</v>
      </c>
      <c r="D4" s="382"/>
      <c r="E4" s="382"/>
      <c r="F4" s="382"/>
      <c r="G4" s="382"/>
      <c r="H4" s="382"/>
      <c r="I4" s="382"/>
      <c r="J4" s="142"/>
    </row>
    <row r="5" spans="1:14" ht="18" customHeight="1" x14ac:dyDescent="0.3">
      <c r="A5" s="136"/>
      <c r="B5" s="3"/>
      <c r="C5" s="3"/>
      <c r="D5" s="3"/>
      <c r="E5" s="3"/>
    </row>
    <row r="6" spans="1:14" ht="38.25" customHeight="1" x14ac:dyDescent="0.3">
      <c r="A6" s="620"/>
      <c r="B6" s="620"/>
      <c r="C6" s="620"/>
      <c r="D6" s="620"/>
      <c r="E6" s="620"/>
      <c r="F6" s="620"/>
      <c r="G6" s="620"/>
      <c r="H6" s="620"/>
      <c r="I6" s="4"/>
      <c r="J6" s="4"/>
      <c r="L6" s="4"/>
      <c r="M6" s="4"/>
      <c r="N6" s="4"/>
    </row>
    <row r="7" spans="1:14" ht="22.5" customHeight="1" x14ac:dyDescent="0.3">
      <c r="B7" s="381" t="s">
        <v>261</v>
      </c>
      <c r="C7" s="381"/>
      <c r="D7" s="381"/>
      <c r="E7" s="381"/>
      <c r="F7" s="381"/>
      <c r="H7" s="4"/>
      <c r="I7" s="4"/>
      <c r="J7" s="4"/>
      <c r="L7" s="4"/>
      <c r="M7" s="4"/>
      <c r="N7" s="4"/>
    </row>
    <row r="8" spans="1:14" ht="22.5" customHeight="1" x14ac:dyDescent="0.3">
      <c r="B8" s="135"/>
      <c r="C8" s="135"/>
      <c r="H8" s="4"/>
      <c r="I8" s="4"/>
      <c r="J8" s="4"/>
      <c r="L8" s="4"/>
      <c r="M8" s="4"/>
      <c r="N8" s="4"/>
    </row>
    <row r="9" spans="1:14" ht="20.25" customHeight="1" x14ac:dyDescent="0.3">
      <c r="A9" s="618" t="s">
        <v>56</v>
      </c>
      <c r="B9" s="618" t="s">
        <v>89</v>
      </c>
      <c r="C9" s="618" t="s">
        <v>73</v>
      </c>
      <c r="D9" s="618" t="s">
        <v>57</v>
      </c>
      <c r="E9" s="73"/>
      <c r="F9" s="621" t="s">
        <v>58</v>
      </c>
      <c r="G9" s="622"/>
      <c r="H9" s="623"/>
      <c r="J9" s="618" t="s">
        <v>106</v>
      </c>
      <c r="L9" s="4"/>
      <c r="M9" s="4"/>
      <c r="N9" s="4"/>
    </row>
    <row r="10" spans="1:14" ht="38.25" customHeight="1" x14ac:dyDescent="0.3">
      <c r="A10" s="619"/>
      <c r="B10" s="619"/>
      <c r="C10" s="619"/>
      <c r="D10" s="619"/>
      <c r="E10" s="149"/>
      <c r="F10" s="49" t="s">
        <v>59</v>
      </c>
      <c r="G10" s="49" t="s">
        <v>60</v>
      </c>
      <c r="H10" s="49" t="s">
        <v>61</v>
      </c>
      <c r="J10" s="619"/>
      <c r="L10" s="4"/>
      <c r="M10" s="4"/>
      <c r="N10" s="4"/>
    </row>
    <row r="11" spans="1:14" ht="27.75" customHeight="1" x14ac:dyDescent="0.3">
      <c r="A11" s="155" t="s">
        <v>283</v>
      </c>
      <c r="B11" s="138" t="s">
        <v>163</v>
      </c>
      <c r="C11" s="165"/>
      <c r="D11" s="166">
        <v>2</v>
      </c>
      <c r="E11" s="165"/>
      <c r="F11" s="167"/>
      <c r="G11" s="168" t="s">
        <v>353</v>
      </c>
      <c r="H11" s="168" t="s">
        <v>354</v>
      </c>
      <c r="I11" s="169"/>
      <c r="J11" s="170">
        <v>36</v>
      </c>
      <c r="L11" s="4"/>
      <c r="M11" s="4"/>
      <c r="N11" s="4"/>
    </row>
    <row r="12" spans="1:14" ht="27.75" customHeight="1" x14ac:dyDescent="0.3">
      <c r="I12" s="171"/>
      <c r="K12" s="4"/>
      <c r="L12" s="4"/>
      <c r="M12" s="4"/>
    </row>
    <row r="13" spans="1:14" ht="27.75" customHeight="1" x14ac:dyDescent="0.3">
      <c r="F13" s="50" t="s">
        <v>96</v>
      </c>
      <c r="I13" s="8"/>
      <c r="K13" s="4"/>
      <c r="L13" s="4"/>
      <c r="M13" s="4"/>
    </row>
    <row r="14" spans="1:14" ht="27.75" customHeight="1" x14ac:dyDescent="0.3">
      <c r="D14" s="11"/>
      <c r="E14" s="11"/>
      <c r="I14" s="171"/>
      <c r="K14" s="4"/>
      <c r="L14" s="4"/>
      <c r="M14" s="4"/>
    </row>
    <row r="15" spans="1:14" ht="27.75" customHeight="1" x14ac:dyDescent="0.3">
      <c r="D15" s="11"/>
      <c r="E15" s="11"/>
      <c r="I15" s="8"/>
      <c r="K15" s="4"/>
      <c r="L15" s="4"/>
      <c r="M15" s="4"/>
    </row>
    <row r="16" spans="1:14" ht="27.75" customHeight="1" x14ac:dyDescent="0.3">
      <c r="D16" s="11"/>
      <c r="E16" s="11"/>
      <c r="I16" s="171"/>
      <c r="K16" s="4"/>
      <c r="L16" s="4"/>
      <c r="M16" s="4"/>
    </row>
    <row r="17" spans="1:14" ht="9.75" customHeight="1" x14ac:dyDescent="0.3">
      <c r="D17" s="11"/>
      <c r="E17" s="11"/>
      <c r="I17" s="4"/>
      <c r="J17" s="4"/>
      <c r="K17" s="4"/>
      <c r="L17" s="4"/>
      <c r="M17" s="4"/>
      <c r="N17" s="4"/>
    </row>
    <row r="18" spans="1:14" ht="20.25" x14ac:dyDescent="0.3">
      <c r="D18" s="11"/>
      <c r="E18" s="11"/>
      <c r="I18" s="4"/>
      <c r="J18" s="4"/>
      <c r="K18" s="4"/>
      <c r="L18" s="4"/>
      <c r="M18" s="4"/>
      <c r="N18" s="4"/>
    </row>
    <row r="19" spans="1:14" ht="20.25" x14ac:dyDescent="0.3">
      <c r="A19" s="51"/>
      <c r="I19" s="4"/>
      <c r="J19" s="4"/>
      <c r="K19" s="4"/>
      <c r="L19" s="4"/>
      <c r="M19" s="4"/>
      <c r="N19" s="4"/>
    </row>
    <row r="20" spans="1:14" ht="20.25" x14ac:dyDescent="0.3">
      <c r="A20" s="52"/>
      <c r="B20" s="53"/>
      <c r="C20" s="53"/>
      <c r="D20" s="53"/>
      <c r="E20" s="53"/>
      <c r="F20" s="53"/>
      <c r="G20" s="53"/>
      <c r="H20" s="53"/>
      <c r="I20" s="4"/>
      <c r="J20" s="4"/>
      <c r="K20" s="4"/>
      <c r="L20" s="4"/>
      <c r="M20" s="4"/>
      <c r="N20" s="4"/>
    </row>
    <row r="21" spans="1:14" ht="20.25" x14ac:dyDescent="0.3">
      <c r="I21" s="4"/>
      <c r="J21" s="4"/>
      <c r="K21" s="4"/>
      <c r="L21" s="4"/>
      <c r="M21" s="4"/>
      <c r="N21" s="4"/>
    </row>
    <row r="22" spans="1:14" ht="20.25" x14ac:dyDescent="0.3">
      <c r="A22" s="144"/>
      <c r="B22" s="144"/>
      <c r="C22" s="144"/>
      <c r="D22" s="144"/>
      <c r="E22" s="144"/>
      <c r="F22" s="144"/>
      <c r="G22" s="144"/>
      <c r="H22" s="144"/>
      <c r="I22" s="4"/>
      <c r="J22" s="4"/>
      <c r="K22" s="4"/>
      <c r="L22" s="4"/>
      <c r="M22" s="4"/>
      <c r="N22" s="4"/>
    </row>
    <row r="23" spans="1:14" ht="20.25" x14ac:dyDescent="0.3">
      <c r="I23" s="4"/>
      <c r="J23" s="4"/>
      <c r="K23" s="4"/>
      <c r="L23" s="4"/>
      <c r="M23" s="4"/>
      <c r="N23" s="4"/>
    </row>
    <row r="24" spans="1:14" ht="20.25" x14ac:dyDescent="0.3">
      <c r="I24" s="4"/>
      <c r="J24" s="4"/>
      <c r="K24" s="4"/>
      <c r="L24" s="4"/>
      <c r="M24" s="4"/>
      <c r="N24" s="4"/>
    </row>
    <row r="25" spans="1:14" ht="19.5" customHeight="1" x14ac:dyDescent="0.3">
      <c r="I25" s="53"/>
      <c r="J25" s="53"/>
      <c r="K25" s="4"/>
      <c r="L25" s="4"/>
      <c r="M25" s="4"/>
      <c r="N25" s="4"/>
    </row>
    <row r="26" spans="1:14" ht="9.75" customHeight="1" x14ac:dyDescent="0.3">
      <c r="I26" s="4"/>
      <c r="J26" s="4"/>
      <c r="K26" s="4"/>
      <c r="L26" s="4"/>
      <c r="M26" s="4"/>
      <c r="N26" s="4"/>
    </row>
    <row r="27" spans="1:14" ht="10.5" customHeight="1" x14ac:dyDescent="0.3">
      <c r="I27" s="144"/>
      <c r="J27" s="144"/>
      <c r="K27" s="144"/>
      <c r="L27" s="144"/>
      <c r="M27" s="144"/>
      <c r="N27" s="144"/>
    </row>
    <row r="28" spans="1:14" ht="74.099999999999994" customHeight="1" x14ac:dyDescent="0.3">
      <c r="B28" s="54"/>
      <c r="C28" s="54"/>
      <c r="M28" s="6"/>
    </row>
    <row r="29" spans="1:14" ht="36" customHeight="1" x14ac:dyDescent="0.3">
      <c r="B29" s="55"/>
      <c r="C29" s="55"/>
      <c r="F29" s="48"/>
      <c r="M29" s="8"/>
    </row>
    <row r="30" spans="1:14" ht="17.25" customHeight="1" x14ac:dyDescent="0.3">
      <c r="M30" s="8"/>
    </row>
    <row r="31" spans="1:14" ht="17.25" customHeight="1" x14ac:dyDescent="0.3">
      <c r="M31" s="8"/>
    </row>
    <row r="32" spans="1:14" ht="17.25" customHeight="1" x14ac:dyDescent="0.3">
      <c r="M32" s="8"/>
    </row>
    <row r="33" spans="1:14" ht="17.25" customHeight="1" x14ac:dyDescent="0.3">
      <c r="M33" s="8"/>
    </row>
    <row r="34" spans="1:14" ht="17.25" customHeight="1" x14ac:dyDescent="0.3">
      <c r="M34" s="8"/>
    </row>
    <row r="35" spans="1:14" ht="17.25" customHeight="1" x14ac:dyDescent="0.3">
      <c r="M35" s="8"/>
    </row>
    <row r="36" spans="1:14" ht="17.25" customHeight="1" x14ac:dyDescent="0.3">
      <c r="M36" s="8"/>
    </row>
    <row r="37" spans="1:14" ht="17.25" customHeight="1" x14ac:dyDescent="0.3">
      <c r="M37" s="8"/>
    </row>
    <row r="38" spans="1:14" ht="17.25" customHeight="1" x14ac:dyDescent="0.3">
      <c r="M38" s="8"/>
    </row>
    <row r="39" spans="1:14" ht="17.25" customHeight="1" x14ac:dyDescent="0.3">
      <c r="M39" s="8"/>
    </row>
    <row r="40" spans="1:14" ht="17.25" customHeight="1" x14ac:dyDescent="0.3">
      <c r="M40" s="8"/>
    </row>
    <row r="41" spans="1:14" ht="17.25" customHeight="1" x14ac:dyDescent="0.3">
      <c r="M41" s="8"/>
    </row>
    <row r="42" spans="1:14" ht="17.25" customHeight="1" x14ac:dyDescent="0.3"/>
    <row r="43" spans="1:14" x14ac:dyDescent="0.3">
      <c r="A43" s="143"/>
      <c r="B43" s="143"/>
      <c r="C43" s="143"/>
      <c r="D43" s="143"/>
      <c r="E43" s="143"/>
      <c r="F43" s="143"/>
      <c r="G43" s="143"/>
      <c r="H43" s="143"/>
    </row>
    <row r="48" spans="1:14" ht="19.5" customHeight="1" x14ac:dyDescent="0.3">
      <c r="I48" s="143"/>
      <c r="J48" s="143"/>
      <c r="K48" s="143"/>
      <c r="L48" s="143"/>
      <c r="M48" s="143"/>
      <c r="N48" s="143"/>
    </row>
  </sheetData>
  <mergeCells count="15">
    <mergeCell ref="J9:J10"/>
    <mergeCell ref="C4:I4"/>
    <mergeCell ref="A6:H6"/>
    <mergeCell ref="B7:F7"/>
    <mergeCell ref="A9:A10"/>
    <mergeCell ref="B9:B10"/>
    <mergeCell ref="C9:C10"/>
    <mergeCell ref="D9:D10"/>
    <mergeCell ref="F9:H9"/>
    <mergeCell ref="A1:B1"/>
    <mergeCell ref="C1:I1"/>
    <mergeCell ref="A2:B2"/>
    <mergeCell ref="C2:I2"/>
    <mergeCell ref="A3:B3"/>
    <mergeCell ref="C3:I3"/>
  </mergeCells>
  <printOptions horizontalCentered="1"/>
  <pageMargins left="0.25" right="0" top="0.5" bottom="0.26" header="0.36" footer="0.25"/>
  <pageSetup paperSize="9" orientation="landscape"/>
  <headerFooter alignWithMargins="0"/>
  <colBreaks count="1" manualBreakCount="1">
    <brk id="10" max="1048575" man="1"/>
  </colBreaks>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AE63"/>
  <sheetViews>
    <sheetView zoomScale="55" zoomScaleNormal="55" zoomScaleSheetLayoutView="130" workbookViewId="0">
      <selection activeCell="S9" sqref="S9:T9"/>
    </sheetView>
  </sheetViews>
  <sheetFormatPr defaultColWidth="8.625" defaultRowHeight="17.25" x14ac:dyDescent="0.3"/>
  <cols>
    <col min="1" max="1" width="5.125" customWidth="1"/>
    <col min="2" max="2" width="7.375" customWidth="1"/>
    <col min="3" max="3" width="26.375" customWidth="1"/>
    <col min="4" max="4" width="7" customWidth="1"/>
    <col min="5" max="5" width="9.625" customWidth="1"/>
    <col min="6" max="6" width="19.625" customWidth="1"/>
    <col min="7" max="7" width="6.375" customWidth="1"/>
    <col min="8" max="8" width="7.375" customWidth="1"/>
    <col min="9" max="9" width="6.875" customWidth="1"/>
    <col min="10" max="10" width="7" customWidth="1"/>
    <col min="11" max="11" width="3.875" customWidth="1"/>
    <col min="12" max="12" width="2.875" customWidth="1"/>
    <col min="13" max="13" width="5.375" customWidth="1"/>
    <col min="14" max="14" width="1.375" hidden="1" customWidth="1"/>
    <col min="15" max="15" width="3.625" customWidth="1"/>
    <col min="16" max="16" width="3.375" customWidth="1"/>
    <col min="17" max="17" width="7.125" customWidth="1"/>
    <col min="18" max="18" width="7.625" customWidth="1"/>
    <col min="19" max="19" width="10.375" customWidth="1"/>
    <col min="20" max="24" width="2.375" customWidth="1"/>
    <col min="25" max="25" width="6.625" customWidth="1"/>
    <col min="26" max="26" width="17" customWidth="1"/>
    <col min="27" max="27" width="17.125" customWidth="1"/>
    <col min="28" max="28" width="9.375" customWidth="1"/>
    <col min="29" max="30" width="14.375" customWidth="1"/>
  </cols>
  <sheetData>
    <row r="1" spans="1:31" s="18" customFormat="1" ht="18" customHeight="1" x14ac:dyDescent="0.3">
      <c r="A1" s="380" t="s">
        <v>107</v>
      </c>
      <c r="B1" s="380"/>
      <c r="C1" s="380"/>
      <c r="D1" s="20"/>
      <c r="E1" s="20"/>
      <c r="F1" s="20"/>
      <c r="G1" s="381" t="s">
        <v>12</v>
      </c>
      <c r="H1" s="381"/>
      <c r="I1" s="381"/>
      <c r="J1" s="381"/>
      <c r="K1" s="381"/>
      <c r="L1" s="381"/>
      <c r="M1" s="381"/>
      <c r="N1" s="381"/>
      <c r="O1" s="381"/>
      <c r="P1" s="381"/>
      <c r="Q1" s="381"/>
      <c r="R1" s="381"/>
      <c r="S1" s="19"/>
      <c r="Z1" s="19"/>
      <c r="AA1" s="19"/>
      <c r="AB1" s="19"/>
      <c r="AC1" s="19"/>
      <c r="AD1" s="19"/>
      <c r="AE1" s="19"/>
    </row>
    <row r="2" spans="1:31" s="18" customFormat="1" ht="18" customHeight="1" x14ac:dyDescent="0.3">
      <c r="A2" s="380" t="s">
        <v>108</v>
      </c>
      <c r="B2" s="380"/>
      <c r="C2" s="380"/>
      <c r="D2" s="20"/>
      <c r="E2" s="20"/>
      <c r="F2" s="20"/>
      <c r="G2" s="381" t="s">
        <v>25</v>
      </c>
      <c r="H2" s="381"/>
      <c r="I2" s="381"/>
      <c r="J2" s="381"/>
      <c r="K2" s="381"/>
      <c r="L2" s="381"/>
      <c r="M2" s="381"/>
      <c r="N2" s="381"/>
      <c r="O2" s="381"/>
      <c r="P2" s="381"/>
      <c r="Q2" s="381"/>
      <c r="R2" s="381"/>
      <c r="S2" s="19"/>
      <c r="Z2" s="20"/>
      <c r="AA2" s="20"/>
      <c r="AB2" s="20"/>
      <c r="AC2" s="20"/>
      <c r="AD2" s="20"/>
      <c r="AE2" s="20"/>
    </row>
    <row r="3" spans="1:31" ht="21.75" customHeight="1" x14ac:dyDescent="0.3">
      <c r="A3" s="379" t="s">
        <v>0</v>
      </c>
      <c r="B3" s="379"/>
      <c r="C3" s="379"/>
      <c r="D3" s="3"/>
      <c r="E3" s="3"/>
      <c r="F3" s="3"/>
      <c r="G3" s="584" t="s">
        <v>109</v>
      </c>
      <c r="H3" s="584"/>
      <c r="I3" s="584"/>
      <c r="J3" s="584"/>
      <c r="K3" s="584"/>
      <c r="L3" s="584"/>
      <c r="M3" s="584"/>
      <c r="N3" s="584"/>
      <c r="O3" s="584"/>
      <c r="P3" s="584"/>
      <c r="Q3" s="584"/>
      <c r="R3" s="584"/>
      <c r="S3" s="16"/>
    </row>
    <row r="4" spans="1:31" ht="26.1" customHeight="1" x14ac:dyDescent="0.3">
      <c r="A4" s="590" t="s">
        <v>99</v>
      </c>
      <c r="B4" s="590"/>
      <c r="C4" s="590"/>
      <c r="D4" s="3"/>
      <c r="E4" s="3"/>
      <c r="F4" s="3"/>
      <c r="G4" s="3"/>
      <c r="M4" s="2"/>
      <c r="N4" s="2"/>
      <c r="O4" s="2"/>
    </row>
    <row r="5" spans="1:31" ht="9.75" customHeight="1" x14ac:dyDescent="0.3">
      <c r="A5" s="379"/>
      <c r="B5" s="379"/>
      <c r="C5" s="379"/>
      <c r="D5" s="379"/>
      <c r="E5" s="2"/>
      <c r="F5" s="2"/>
      <c r="G5" s="2"/>
      <c r="H5" s="2"/>
      <c r="I5" s="2"/>
      <c r="J5" s="2"/>
      <c r="K5" s="2"/>
    </row>
    <row r="6" spans="1:31" ht="24" customHeight="1" x14ac:dyDescent="0.3">
      <c r="A6" s="596" t="s">
        <v>83</v>
      </c>
      <c r="B6" s="596"/>
      <c r="C6" s="596"/>
      <c r="D6" s="596"/>
      <c r="E6" s="596"/>
      <c r="F6" s="596"/>
      <c r="G6" s="596"/>
      <c r="H6" s="596"/>
      <c r="I6" s="596"/>
      <c r="J6" s="596"/>
      <c r="K6" s="596"/>
      <c r="L6" s="596"/>
      <c r="M6" s="596"/>
      <c r="N6" s="596"/>
      <c r="O6" s="596"/>
      <c r="P6" s="596"/>
      <c r="Q6" s="596"/>
      <c r="R6" s="596"/>
      <c r="S6" s="3"/>
      <c r="T6" s="4"/>
      <c r="U6" s="4"/>
      <c r="V6" s="4"/>
      <c r="W6" s="4"/>
      <c r="X6" s="4"/>
      <c r="Y6" s="4"/>
      <c r="Z6" s="4"/>
      <c r="AA6" s="4"/>
      <c r="AB6" s="4"/>
      <c r="AC6" s="4"/>
      <c r="AD6" s="4"/>
      <c r="AE6" s="4"/>
    </row>
    <row r="7" spans="1:31" ht="22.5" customHeight="1" x14ac:dyDescent="0.3">
      <c r="A7" s="596" t="s">
        <v>116</v>
      </c>
      <c r="B7" s="596"/>
      <c r="C7" s="596"/>
      <c r="D7" s="596"/>
      <c r="E7" s="596"/>
      <c r="F7" s="596"/>
      <c r="G7" s="596"/>
      <c r="H7" s="596"/>
      <c r="I7" s="596"/>
      <c r="J7" s="596"/>
      <c r="K7" s="596"/>
      <c r="L7" s="596"/>
      <c r="M7" s="596"/>
      <c r="N7" s="596"/>
      <c r="O7" s="596"/>
      <c r="P7" s="596"/>
      <c r="Q7" s="596"/>
      <c r="R7" s="596"/>
      <c r="S7" s="3"/>
      <c r="T7" s="4"/>
      <c r="U7" s="4"/>
      <c r="V7" s="4"/>
      <c r="W7" s="4"/>
      <c r="X7" s="4"/>
      <c r="Y7" s="4"/>
      <c r="Z7" s="4"/>
      <c r="AA7" s="4"/>
      <c r="AB7" s="4"/>
      <c r="AC7" s="4"/>
      <c r="AD7" s="4"/>
      <c r="AE7" s="4"/>
    </row>
    <row r="8" spans="1:31" ht="19.5" customHeight="1" x14ac:dyDescent="0.3">
      <c r="A8" s="2"/>
      <c r="B8" s="2"/>
      <c r="C8" s="2"/>
      <c r="D8" s="2"/>
      <c r="E8" s="2"/>
      <c r="F8" s="2"/>
      <c r="G8" s="2"/>
      <c r="H8" s="2"/>
      <c r="I8" s="2"/>
      <c r="J8" s="2"/>
      <c r="K8" s="2"/>
      <c r="L8" s="2"/>
      <c r="M8" s="2"/>
      <c r="N8" s="2"/>
      <c r="O8" s="2"/>
      <c r="P8" s="2"/>
      <c r="Q8" s="2"/>
      <c r="R8" s="2"/>
      <c r="S8" s="2"/>
      <c r="T8" s="4"/>
      <c r="U8" s="4"/>
      <c r="V8" s="4"/>
      <c r="W8" s="4"/>
      <c r="X8" s="4"/>
      <c r="Y8" s="4"/>
      <c r="Z8" s="4"/>
      <c r="AA8" s="4"/>
      <c r="AB8" s="4"/>
      <c r="AC8" s="4"/>
      <c r="AD8" s="4"/>
      <c r="AE8" s="4"/>
    </row>
    <row r="9" spans="1:31" ht="20.25" x14ac:dyDescent="0.3">
      <c r="B9" s="65" t="s">
        <v>75</v>
      </c>
      <c r="C9" s="65"/>
      <c r="D9" s="65"/>
      <c r="E9" s="65"/>
      <c r="F9" s="65"/>
      <c r="G9" s="65"/>
      <c r="H9" s="65"/>
      <c r="I9" s="65"/>
      <c r="J9" s="65"/>
      <c r="K9" s="65"/>
      <c r="L9" s="65"/>
      <c r="M9" s="65"/>
      <c r="N9" s="65"/>
      <c r="O9" s="65"/>
      <c r="P9" s="65"/>
      <c r="Q9" s="65"/>
      <c r="R9" s="2"/>
      <c r="S9" s="4"/>
      <c r="T9" s="4"/>
      <c r="U9" s="4"/>
      <c r="V9" s="4"/>
      <c r="W9" s="4"/>
      <c r="X9" s="4"/>
      <c r="Y9" s="4"/>
      <c r="Z9" s="4"/>
      <c r="AA9" s="4"/>
      <c r="AB9" s="4"/>
      <c r="AC9" s="4"/>
      <c r="AD9" s="4"/>
      <c r="AE9" s="4"/>
    </row>
    <row r="10" spans="1:31" ht="6.75" customHeight="1" x14ac:dyDescent="0.3">
      <c r="A10" s="60"/>
      <c r="B10" s="63"/>
      <c r="C10" s="63"/>
      <c r="D10" s="63"/>
      <c r="E10" s="63"/>
      <c r="F10" s="63"/>
      <c r="G10" s="63"/>
      <c r="H10" s="63"/>
      <c r="I10" s="63"/>
      <c r="J10" s="63"/>
      <c r="K10" s="63"/>
      <c r="L10" s="63"/>
      <c r="M10" s="63"/>
      <c r="N10" s="63"/>
      <c r="O10" s="63"/>
      <c r="P10" s="63"/>
      <c r="Q10" s="65"/>
      <c r="R10" s="2"/>
      <c r="S10" s="4"/>
      <c r="T10" s="4"/>
      <c r="U10" s="4"/>
      <c r="V10" s="4"/>
      <c r="W10" s="4"/>
      <c r="X10" s="4"/>
      <c r="Y10" s="4"/>
      <c r="Z10" s="4"/>
      <c r="AA10" s="4"/>
      <c r="AB10" s="4"/>
      <c r="AC10" s="4"/>
      <c r="AD10" s="4"/>
      <c r="AE10" s="4"/>
    </row>
    <row r="11" spans="1:31" ht="18.75" customHeight="1" x14ac:dyDescent="0.3">
      <c r="A11" s="586" t="s">
        <v>2</v>
      </c>
      <c r="B11" s="586" t="s">
        <v>97</v>
      </c>
      <c r="C11" s="586" t="s">
        <v>84</v>
      </c>
      <c r="D11" s="564" t="s">
        <v>76</v>
      </c>
      <c r="E11" s="647"/>
      <c r="F11" s="647"/>
      <c r="G11" s="647"/>
      <c r="H11" s="647"/>
      <c r="I11" s="648"/>
      <c r="J11" s="585" t="s">
        <v>77</v>
      </c>
      <c r="K11" s="567" t="s">
        <v>78</v>
      </c>
      <c r="L11" s="568"/>
      <c r="M11" s="567" t="s">
        <v>87</v>
      </c>
      <c r="N11" s="571"/>
      <c r="O11" s="571"/>
      <c r="P11" s="571"/>
      <c r="Q11" s="571"/>
      <c r="R11" s="568"/>
      <c r="S11" s="5"/>
      <c r="T11" s="5"/>
      <c r="U11" s="5"/>
      <c r="V11" s="5"/>
      <c r="W11" s="5"/>
      <c r="X11" s="5"/>
      <c r="Y11" s="5"/>
      <c r="Z11" s="5"/>
      <c r="AA11" s="5"/>
      <c r="AB11" s="5"/>
      <c r="AC11" s="5"/>
    </row>
    <row r="12" spans="1:31" ht="13.5" customHeight="1" x14ac:dyDescent="0.3">
      <c r="A12" s="586"/>
      <c r="B12" s="586"/>
      <c r="C12" s="586"/>
      <c r="D12" s="563" t="s">
        <v>13</v>
      </c>
      <c r="E12" s="567" t="s">
        <v>71</v>
      </c>
      <c r="F12" s="568"/>
      <c r="G12" s="585" t="s">
        <v>79</v>
      </c>
      <c r="H12" s="638" t="s">
        <v>85</v>
      </c>
      <c r="I12" s="649" t="s">
        <v>82</v>
      </c>
      <c r="J12" s="586"/>
      <c r="K12" s="569"/>
      <c r="L12" s="570"/>
      <c r="M12" s="569"/>
      <c r="N12" s="572"/>
      <c r="O12" s="572"/>
      <c r="P12" s="572"/>
      <c r="Q12" s="572"/>
      <c r="R12" s="570"/>
      <c r="S12" s="6"/>
      <c r="T12" s="6"/>
      <c r="U12" s="6"/>
    </row>
    <row r="13" spans="1:31" ht="18" customHeight="1" x14ac:dyDescent="0.3">
      <c r="A13" s="586"/>
      <c r="B13" s="586"/>
      <c r="C13" s="586"/>
      <c r="D13" s="563"/>
      <c r="E13" s="569"/>
      <c r="F13" s="570"/>
      <c r="G13" s="586"/>
      <c r="H13" s="641"/>
      <c r="I13" s="649"/>
      <c r="J13" s="586"/>
      <c r="K13" s="569"/>
      <c r="L13" s="570"/>
      <c r="M13" s="569"/>
      <c r="N13" s="572"/>
      <c r="O13" s="572"/>
      <c r="P13" s="572"/>
      <c r="Q13" s="572"/>
      <c r="R13" s="570"/>
      <c r="S13" s="6"/>
      <c r="T13" s="6"/>
      <c r="U13" s="6"/>
    </row>
    <row r="14" spans="1:31" ht="32.25" customHeight="1" x14ac:dyDescent="0.3">
      <c r="A14" s="587"/>
      <c r="B14" s="587"/>
      <c r="C14" s="587"/>
      <c r="D14" s="563"/>
      <c r="E14" s="573"/>
      <c r="F14" s="575"/>
      <c r="G14" s="587"/>
      <c r="H14" s="644"/>
      <c r="I14" s="649"/>
      <c r="J14" s="587"/>
      <c r="K14" s="573"/>
      <c r="L14" s="575"/>
      <c r="M14" s="573"/>
      <c r="N14" s="574"/>
      <c r="O14" s="574"/>
      <c r="P14" s="574"/>
      <c r="Q14" s="574"/>
      <c r="R14" s="575"/>
      <c r="S14" s="6"/>
      <c r="T14" s="6"/>
      <c r="U14" s="8"/>
    </row>
    <row r="15" spans="1:31" ht="24.75" customHeight="1" x14ac:dyDescent="0.3">
      <c r="A15" s="626">
        <v>1</v>
      </c>
      <c r="B15" s="626"/>
      <c r="C15" s="626"/>
      <c r="D15" s="626"/>
      <c r="E15" s="628"/>
      <c r="F15" s="630"/>
      <c r="G15" s="626"/>
      <c r="H15" s="626"/>
      <c r="I15" s="626"/>
      <c r="J15" s="626"/>
      <c r="K15" s="628"/>
      <c r="L15" s="630"/>
      <c r="M15" s="628"/>
      <c r="N15" s="629"/>
      <c r="O15" s="629"/>
      <c r="P15" s="629"/>
      <c r="Q15" s="629"/>
      <c r="R15" s="630"/>
      <c r="S15" s="8"/>
      <c r="T15" s="8"/>
      <c r="U15" s="8"/>
    </row>
    <row r="16" spans="1:31" ht="24.75" customHeight="1" x14ac:dyDescent="0.3">
      <c r="A16" s="627"/>
      <c r="B16" s="627"/>
      <c r="C16" s="627"/>
      <c r="D16" s="627"/>
      <c r="E16" s="631"/>
      <c r="F16" s="633"/>
      <c r="G16" s="627"/>
      <c r="H16" s="627"/>
      <c r="I16" s="627"/>
      <c r="J16" s="627"/>
      <c r="K16" s="631"/>
      <c r="L16" s="633"/>
      <c r="M16" s="631"/>
      <c r="N16" s="632"/>
      <c r="O16" s="632"/>
      <c r="P16" s="632"/>
      <c r="Q16" s="632"/>
      <c r="R16" s="633"/>
      <c r="S16" s="8"/>
      <c r="T16" s="8"/>
      <c r="U16" s="8"/>
    </row>
    <row r="17" spans="1:31" ht="24.75" customHeight="1" x14ac:dyDescent="0.3">
      <c r="A17" s="626">
        <v>2</v>
      </c>
      <c r="B17" s="626"/>
      <c r="C17" s="626"/>
      <c r="D17" s="626"/>
      <c r="E17" s="628"/>
      <c r="F17" s="630"/>
      <c r="G17" s="626"/>
      <c r="H17" s="626"/>
      <c r="I17" s="626"/>
      <c r="J17" s="626"/>
      <c r="K17" s="628"/>
      <c r="L17" s="630"/>
      <c r="M17" s="628"/>
      <c r="N17" s="629"/>
      <c r="O17" s="629"/>
      <c r="P17" s="629"/>
      <c r="Q17" s="629"/>
      <c r="R17" s="630"/>
      <c r="S17" s="8"/>
      <c r="T17" s="8"/>
      <c r="U17" s="8"/>
    </row>
    <row r="18" spans="1:31" ht="24.75" customHeight="1" x14ac:dyDescent="0.3">
      <c r="A18" s="627"/>
      <c r="B18" s="627"/>
      <c r="C18" s="627"/>
      <c r="D18" s="627"/>
      <c r="E18" s="631"/>
      <c r="F18" s="633"/>
      <c r="G18" s="627"/>
      <c r="H18" s="627"/>
      <c r="I18" s="627"/>
      <c r="J18" s="627"/>
      <c r="K18" s="631"/>
      <c r="L18" s="633"/>
      <c r="M18" s="631"/>
      <c r="N18" s="632"/>
      <c r="O18" s="632"/>
      <c r="P18" s="632"/>
      <c r="Q18" s="632"/>
      <c r="R18" s="633"/>
      <c r="S18" s="8"/>
      <c r="T18" s="8"/>
      <c r="U18" s="8"/>
    </row>
    <row r="19" spans="1:31" ht="24.75" customHeight="1" x14ac:dyDescent="0.3">
      <c r="A19" s="626">
        <v>3</v>
      </c>
      <c r="B19" s="626"/>
      <c r="C19" s="626"/>
      <c r="D19" s="626"/>
      <c r="E19" s="628"/>
      <c r="F19" s="630"/>
      <c r="G19" s="626"/>
      <c r="H19" s="626"/>
      <c r="I19" s="626"/>
      <c r="J19" s="626"/>
      <c r="K19" s="628"/>
      <c r="L19" s="630"/>
      <c r="M19" s="628"/>
      <c r="N19" s="629"/>
      <c r="O19" s="629"/>
      <c r="P19" s="629"/>
      <c r="Q19" s="629"/>
      <c r="R19" s="630"/>
      <c r="S19" s="8"/>
      <c r="T19" s="8"/>
      <c r="U19" s="8"/>
    </row>
    <row r="20" spans="1:31" ht="24.75" customHeight="1" x14ac:dyDescent="0.3">
      <c r="A20" s="627"/>
      <c r="B20" s="627"/>
      <c r="C20" s="627"/>
      <c r="D20" s="627"/>
      <c r="E20" s="631"/>
      <c r="F20" s="633"/>
      <c r="G20" s="627"/>
      <c r="H20" s="627"/>
      <c r="I20" s="627"/>
      <c r="J20" s="627"/>
      <c r="K20" s="631"/>
      <c r="L20" s="633"/>
      <c r="M20" s="631"/>
      <c r="N20" s="632"/>
      <c r="O20" s="632"/>
      <c r="P20" s="632"/>
      <c r="Q20" s="632"/>
      <c r="R20" s="633"/>
      <c r="S20" s="8"/>
      <c r="T20" s="8"/>
      <c r="U20" s="8"/>
    </row>
    <row r="21" spans="1:31" ht="24.75" customHeight="1" x14ac:dyDescent="0.3">
      <c r="A21" s="626">
        <v>4</v>
      </c>
      <c r="B21" s="626"/>
      <c r="C21" s="626"/>
      <c r="D21" s="626"/>
      <c r="E21" s="628"/>
      <c r="F21" s="630"/>
      <c r="G21" s="626"/>
      <c r="H21" s="626"/>
      <c r="I21" s="626"/>
      <c r="J21" s="626"/>
      <c r="K21" s="628"/>
      <c r="L21" s="630"/>
      <c r="M21" s="628"/>
      <c r="N21" s="629"/>
      <c r="O21" s="629"/>
      <c r="P21" s="629"/>
      <c r="Q21" s="629"/>
      <c r="R21" s="630"/>
      <c r="S21" s="8"/>
      <c r="T21" s="8"/>
      <c r="U21" s="8"/>
    </row>
    <row r="22" spans="1:31" ht="24.75" customHeight="1" x14ac:dyDescent="0.3">
      <c r="A22" s="627"/>
      <c r="B22" s="627"/>
      <c r="C22" s="627"/>
      <c r="D22" s="627"/>
      <c r="E22" s="631"/>
      <c r="F22" s="633"/>
      <c r="G22" s="627"/>
      <c r="H22" s="627"/>
      <c r="I22" s="627"/>
      <c r="J22" s="627"/>
      <c r="K22" s="631"/>
      <c r="L22" s="633"/>
      <c r="M22" s="631"/>
      <c r="N22" s="632"/>
      <c r="O22" s="632"/>
      <c r="P22" s="632"/>
      <c r="Q22" s="632"/>
      <c r="R22" s="633"/>
      <c r="S22" s="8"/>
      <c r="T22" s="8"/>
      <c r="U22" s="8"/>
    </row>
    <row r="23" spans="1:31" ht="24.75" customHeight="1" x14ac:dyDescent="0.3">
      <c r="A23" s="626">
        <v>5</v>
      </c>
      <c r="B23" s="626"/>
      <c r="C23" s="626"/>
      <c r="D23" s="626"/>
      <c r="E23" s="628"/>
      <c r="F23" s="630"/>
      <c r="G23" s="626"/>
      <c r="H23" s="626"/>
      <c r="I23" s="626"/>
      <c r="J23" s="626"/>
      <c r="K23" s="628"/>
      <c r="L23" s="630"/>
      <c r="M23" s="628"/>
      <c r="N23" s="629"/>
      <c r="O23" s="629"/>
      <c r="P23" s="629"/>
      <c r="Q23" s="629"/>
      <c r="R23" s="630"/>
      <c r="S23" s="8"/>
      <c r="T23" s="8"/>
      <c r="U23" s="8"/>
    </row>
    <row r="24" spans="1:31" ht="24.75" customHeight="1" x14ac:dyDescent="0.3">
      <c r="A24" s="627"/>
      <c r="B24" s="627"/>
      <c r="C24" s="627"/>
      <c r="D24" s="627"/>
      <c r="E24" s="631"/>
      <c r="F24" s="633"/>
      <c r="G24" s="627"/>
      <c r="H24" s="627"/>
      <c r="I24" s="627"/>
      <c r="J24" s="627"/>
      <c r="K24" s="631"/>
      <c r="L24" s="633"/>
      <c r="M24" s="631"/>
      <c r="N24" s="632"/>
      <c r="O24" s="632"/>
      <c r="P24" s="632"/>
      <c r="Q24" s="632"/>
      <c r="R24" s="633"/>
      <c r="S24" s="8"/>
      <c r="T24" s="8"/>
      <c r="U24" s="8"/>
    </row>
    <row r="25" spans="1:31" x14ac:dyDescent="0.3">
      <c r="A25" s="14"/>
      <c r="B25" s="14"/>
      <c r="C25" s="15"/>
      <c r="D25" s="8"/>
      <c r="E25" s="8"/>
      <c r="F25" s="8"/>
      <c r="G25" s="8"/>
      <c r="H25" s="8"/>
      <c r="I25" s="8"/>
      <c r="J25" s="8"/>
      <c r="K25" s="8"/>
      <c r="L25" s="8"/>
      <c r="M25" s="8"/>
      <c r="N25" s="8"/>
      <c r="O25" s="8"/>
      <c r="P25" s="8"/>
      <c r="Q25" s="8"/>
      <c r="R25" s="8"/>
      <c r="S25" s="8"/>
      <c r="T25" s="8"/>
      <c r="U25" s="8"/>
      <c r="V25" s="8"/>
      <c r="W25" s="8"/>
      <c r="X25" s="8"/>
      <c r="Y25" s="8"/>
      <c r="Z25" s="8"/>
      <c r="AA25" s="8"/>
      <c r="AB25" s="8"/>
      <c r="AC25" s="8"/>
      <c r="AD25" s="8"/>
    </row>
    <row r="26" spans="1:31" ht="20.25" x14ac:dyDescent="0.3">
      <c r="B26" s="637" t="s">
        <v>80</v>
      </c>
      <c r="C26" s="637"/>
      <c r="D26" s="637"/>
      <c r="E26" s="637"/>
      <c r="F26" s="637"/>
      <c r="G26" s="637"/>
      <c r="H26" s="637"/>
      <c r="I26" s="637"/>
      <c r="J26" s="637"/>
      <c r="K26" s="637"/>
      <c r="L26" s="637"/>
      <c r="M26" s="637"/>
      <c r="N26" s="637"/>
      <c r="O26" s="637"/>
      <c r="P26" s="637"/>
      <c r="Q26" s="65"/>
      <c r="R26" s="2"/>
      <c r="S26" s="4"/>
      <c r="T26" s="4"/>
      <c r="U26" s="4"/>
      <c r="V26" s="4"/>
      <c r="W26" s="4"/>
      <c r="X26" s="4"/>
      <c r="Y26" s="4"/>
      <c r="Z26" s="4"/>
      <c r="AA26" s="4"/>
      <c r="AB26" s="4"/>
      <c r="AC26" s="4"/>
      <c r="AD26" s="4"/>
      <c r="AE26" s="4"/>
    </row>
    <row r="27" spans="1:31" ht="8.25" customHeight="1" x14ac:dyDescent="0.3">
      <c r="A27" s="60"/>
      <c r="B27" s="63"/>
      <c r="C27" s="63"/>
      <c r="D27" s="63"/>
      <c r="E27" s="63"/>
      <c r="F27" s="63"/>
      <c r="G27" s="63"/>
      <c r="H27" s="63"/>
      <c r="I27" s="63"/>
      <c r="J27" s="63"/>
      <c r="K27" s="63"/>
      <c r="L27" s="63"/>
      <c r="M27" s="63"/>
      <c r="N27" s="63"/>
      <c r="O27" s="63"/>
      <c r="P27" s="63"/>
      <c r="Q27" s="65"/>
      <c r="R27" s="2"/>
      <c r="S27" s="4"/>
      <c r="T27" s="4"/>
      <c r="U27" s="4"/>
      <c r="V27" s="4"/>
      <c r="W27" s="4"/>
      <c r="X27" s="4"/>
      <c r="Y27" s="4"/>
      <c r="Z27" s="4"/>
      <c r="AA27" s="4"/>
      <c r="AB27" s="4"/>
      <c r="AC27" s="4"/>
      <c r="AD27" s="4"/>
      <c r="AE27" s="4"/>
    </row>
    <row r="28" spans="1:31" ht="18.75" customHeight="1" x14ac:dyDescent="0.3">
      <c r="A28" s="586" t="s">
        <v>2</v>
      </c>
      <c r="B28" s="634" t="s">
        <v>67</v>
      </c>
      <c r="C28" s="635"/>
      <c r="D28" s="635"/>
      <c r="E28" s="635"/>
      <c r="F28" s="636"/>
      <c r="G28" s="585" t="s">
        <v>13</v>
      </c>
      <c r="H28" s="638" t="s">
        <v>71</v>
      </c>
      <c r="I28" s="639"/>
      <c r="J28" s="639"/>
      <c r="K28" s="639"/>
      <c r="L28" s="639"/>
      <c r="M28" s="639"/>
      <c r="N28" s="640"/>
      <c r="O28" s="567" t="s">
        <v>79</v>
      </c>
      <c r="P28" s="568"/>
      <c r="Q28" s="585" t="s">
        <v>85</v>
      </c>
      <c r="R28" s="585" t="s">
        <v>81</v>
      </c>
      <c r="S28" s="66"/>
      <c r="T28" s="5"/>
      <c r="U28" s="5"/>
      <c r="V28" s="5"/>
      <c r="W28" s="5"/>
      <c r="X28" s="5"/>
      <c r="Y28" s="5"/>
      <c r="Z28" s="5"/>
      <c r="AA28" s="5"/>
      <c r="AB28" s="5"/>
      <c r="AC28" s="5"/>
    </row>
    <row r="29" spans="1:31" ht="13.5" customHeight="1" x14ac:dyDescent="0.3">
      <c r="A29" s="586"/>
      <c r="B29" s="585" t="s">
        <v>97</v>
      </c>
      <c r="C29" s="585" t="s">
        <v>84</v>
      </c>
      <c r="D29" s="585" t="s">
        <v>4</v>
      </c>
      <c r="E29" s="585" t="s">
        <v>5</v>
      </c>
      <c r="F29" s="585" t="s">
        <v>24</v>
      </c>
      <c r="G29" s="586"/>
      <c r="H29" s="641"/>
      <c r="I29" s="642"/>
      <c r="J29" s="642"/>
      <c r="K29" s="642"/>
      <c r="L29" s="642"/>
      <c r="M29" s="642"/>
      <c r="N29" s="643"/>
      <c r="O29" s="569"/>
      <c r="P29" s="570"/>
      <c r="Q29" s="586"/>
      <c r="R29" s="586"/>
      <c r="S29" s="67"/>
      <c r="T29" s="6"/>
      <c r="U29" s="6"/>
    </row>
    <row r="30" spans="1:31" ht="18" customHeight="1" x14ac:dyDescent="0.3">
      <c r="A30" s="586"/>
      <c r="B30" s="586"/>
      <c r="C30" s="586"/>
      <c r="D30" s="586"/>
      <c r="E30" s="586"/>
      <c r="F30" s="586"/>
      <c r="G30" s="586"/>
      <c r="H30" s="641"/>
      <c r="I30" s="642"/>
      <c r="J30" s="642"/>
      <c r="K30" s="642"/>
      <c r="L30" s="642"/>
      <c r="M30" s="642"/>
      <c r="N30" s="643"/>
      <c r="O30" s="569"/>
      <c r="P30" s="570"/>
      <c r="Q30" s="586"/>
      <c r="R30" s="586"/>
      <c r="S30" s="67"/>
      <c r="T30" s="6"/>
      <c r="U30" s="6"/>
    </row>
    <row r="31" spans="1:31" ht="32.25" customHeight="1" x14ac:dyDescent="0.3">
      <c r="A31" s="587"/>
      <c r="B31" s="587"/>
      <c r="C31" s="587"/>
      <c r="D31" s="587"/>
      <c r="E31" s="587"/>
      <c r="F31" s="587"/>
      <c r="G31" s="587"/>
      <c r="H31" s="644"/>
      <c r="I31" s="645"/>
      <c r="J31" s="645"/>
      <c r="K31" s="645"/>
      <c r="L31" s="645"/>
      <c r="M31" s="645"/>
      <c r="N31" s="646"/>
      <c r="O31" s="573"/>
      <c r="P31" s="575"/>
      <c r="Q31" s="587"/>
      <c r="R31" s="587"/>
      <c r="S31" s="68"/>
      <c r="T31" s="6"/>
      <c r="U31" s="8"/>
    </row>
    <row r="32" spans="1:31" ht="20.100000000000001" customHeight="1" x14ac:dyDescent="0.3">
      <c r="A32" s="626">
        <v>1</v>
      </c>
      <c r="B32" s="626"/>
      <c r="C32" s="626"/>
      <c r="D32" s="626"/>
      <c r="E32" s="626"/>
      <c r="F32" s="626"/>
      <c r="G32" s="626"/>
      <c r="H32" s="628"/>
      <c r="I32" s="629"/>
      <c r="J32" s="629"/>
      <c r="K32" s="629"/>
      <c r="L32" s="629"/>
      <c r="M32" s="629"/>
      <c r="N32" s="630"/>
      <c r="O32" s="628"/>
      <c r="P32" s="630"/>
      <c r="Q32" s="626"/>
      <c r="R32" s="624"/>
      <c r="S32" s="8"/>
      <c r="T32" s="8"/>
      <c r="U32" s="8"/>
    </row>
    <row r="33" spans="1:30" ht="20.100000000000001" customHeight="1" x14ac:dyDescent="0.3">
      <c r="A33" s="627"/>
      <c r="B33" s="627"/>
      <c r="C33" s="627"/>
      <c r="D33" s="627"/>
      <c r="E33" s="627"/>
      <c r="F33" s="627"/>
      <c r="G33" s="627"/>
      <c r="H33" s="631"/>
      <c r="I33" s="632"/>
      <c r="J33" s="632"/>
      <c r="K33" s="632"/>
      <c r="L33" s="632"/>
      <c r="M33" s="632"/>
      <c r="N33" s="633"/>
      <c r="O33" s="631"/>
      <c r="P33" s="633"/>
      <c r="Q33" s="627"/>
      <c r="R33" s="625"/>
      <c r="S33" s="8"/>
      <c r="T33" s="8"/>
      <c r="U33" s="8"/>
    </row>
    <row r="34" spans="1:30" ht="20.100000000000001" customHeight="1" x14ac:dyDescent="0.3">
      <c r="A34" s="626">
        <v>2</v>
      </c>
      <c r="B34" s="626"/>
      <c r="C34" s="626"/>
      <c r="D34" s="626"/>
      <c r="E34" s="626"/>
      <c r="F34" s="626"/>
      <c r="G34" s="626"/>
      <c r="H34" s="628"/>
      <c r="I34" s="629"/>
      <c r="J34" s="629"/>
      <c r="K34" s="629"/>
      <c r="L34" s="629"/>
      <c r="M34" s="629"/>
      <c r="N34" s="630"/>
      <c r="O34" s="628"/>
      <c r="P34" s="630"/>
      <c r="Q34" s="626"/>
      <c r="R34" s="624"/>
      <c r="S34" s="8"/>
      <c r="T34" s="8"/>
      <c r="U34" s="8"/>
    </row>
    <row r="35" spans="1:30" ht="20.100000000000001" customHeight="1" x14ac:dyDescent="0.3">
      <c r="A35" s="627"/>
      <c r="B35" s="627"/>
      <c r="C35" s="627"/>
      <c r="D35" s="627"/>
      <c r="E35" s="627"/>
      <c r="F35" s="627"/>
      <c r="G35" s="627"/>
      <c r="H35" s="631"/>
      <c r="I35" s="632"/>
      <c r="J35" s="632"/>
      <c r="K35" s="632"/>
      <c r="L35" s="632"/>
      <c r="M35" s="632"/>
      <c r="N35" s="633"/>
      <c r="O35" s="631"/>
      <c r="P35" s="633"/>
      <c r="Q35" s="627"/>
      <c r="R35" s="625"/>
      <c r="S35" s="8"/>
      <c r="T35" s="8"/>
      <c r="U35" s="8"/>
    </row>
    <row r="36" spans="1:30" ht="20.100000000000001" customHeight="1" x14ac:dyDescent="0.3">
      <c r="A36" s="626">
        <v>3</v>
      </c>
      <c r="B36" s="626"/>
      <c r="C36" s="626"/>
      <c r="D36" s="626"/>
      <c r="E36" s="626"/>
      <c r="F36" s="626"/>
      <c r="G36" s="626"/>
      <c r="H36" s="628"/>
      <c r="I36" s="629"/>
      <c r="J36" s="629"/>
      <c r="K36" s="629"/>
      <c r="L36" s="629"/>
      <c r="M36" s="629"/>
      <c r="N36" s="630"/>
      <c r="O36" s="628"/>
      <c r="P36" s="630"/>
      <c r="Q36" s="626"/>
      <c r="R36" s="624"/>
      <c r="S36" s="8"/>
      <c r="T36" s="8"/>
      <c r="U36" s="8"/>
    </row>
    <row r="37" spans="1:30" ht="20.100000000000001" customHeight="1" x14ac:dyDescent="0.3">
      <c r="A37" s="627"/>
      <c r="B37" s="627"/>
      <c r="C37" s="627"/>
      <c r="D37" s="627"/>
      <c r="E37" s="627"/>
      <c r="F37" s="627"/>
      <c r="G37" s="627"/>
      <c r="H37" s="631"/>
      <c r="I37" s="632"/>
      <c r="J37" s="632"/>
      <c r="K37" s="632"/>
      <c r="L37" s="632"/>
      <c r="M37" s="632"/>
      <c r="N37" s="633"/>
      <c r="O37" s="631"/>
      <c r="P37" s="633"/>
      <c r="Q37" s="627"/>
      <c r="R37" s="625"/>
      <c r="S37" s="8"/>
      <c r="T37" s="8"/>
      <c r="U37" s="8"/>
    </row>
    <row r="38" spans="1:30" ht="20.100000000000001" customHeight="1" x14ac:dyDescent="0.3">
      <c r="A38" s="626">
        <v>4</v>
      </c>
      <c r="B38" s="626"/>
      <c r="C38" s="626"/>
      <c r="D38" s="626"/>
      <c r="E38" s="626"/>
      <c r="F38" s="626"/>
      <c r="G38" s="626"/>
      <c r="H38" s="628"/>
      <c r="I38" s="629"/>
      <c r="J38" s="629"/>
      <c r="K38" s="629"/>
      <c r="L38" s="629"/>
      <c r="M38" s="629"/>
      <c r="N38" s="630"/>
      <c r="O38" s="628"/>
      <c r="P38" s="630"/>
      <c r="Q38" s="626"/>
      <c r="R38" s="624"/>
      <c r="S38" s="8"/>
      <c r="T38" s="8"/>
      <c r="U38" s="8"/>
    </row>
    <row r="39" spans="1:30" ht="20.100000000000001" customHeight="1" x14ac:dyDescent="0.3">
      <c r="A39" s="627"/>
      <c r="B39" s="627"/>
      <c r="C39" s="627"/>
      <c r="D39" s="627"/>
      <c r="E39" s="627"/>
      <c r="F39" s="627"/>
      <c r="G39" s="627"/>
      <c r="H39" s="631"/>
      <c r="I39" s="632"/>
      <c r="J39" s="632"/>
      <c r="K39" s="632"/>
      <c r="L39" s="632"/>
      <c r="M39" s="632"/>
      <c r="N39" s="633"/>
      <c r="O39" s="631"/>
      <c r="P39" s="633"/>
      <c r="Q39" s="627"/>
      <c r="R39" s="625"/>
      <c r="S39" s="8"/>
      <c r="T39" s="8"/>
      <c r="U39" s="8"/>
    </row>
    <row r="40" spans="1:30" ht="20.100000000000001" customHeight="1" x14ac:dyDescent="0.3">
      <c r="A40" s="626">
        <v>5</v>
      </c>
      <c r="B40" s="626"/>
      <c r="C40" s="626"/>
      <c r="D40" s="626"/>
      <c r="E40" s="626"/>
      <c r="F40" s="626"/>
      <c r="G40" s="626"/>
      <c r="H40" s="628"/>
      <c r="I40" s="629"/>
      <c r="J40" s="629"/>
      <c r="K40" s="629"/>
      <c r="L40" s="629"/>
      <c r="M40" s="629"/>
      <c r="N40" s="630"/>
      <c r="O40" s="628"/>
      <c r="P40" s="630"/>
      <c r="Q40" s="626"/>
      <c r="R40" s="624"/>
      <c r="S40" s="8"/>
      <c r="T40" s="8"/>
      <c r="U40" s="8"/>
    </row>
    <row r="41" spans="1:30" ht="20.100000000000001" customHeight="1" x14ac:dyDescent="0.3">
      <c r="A41" s="627"/>
      <c r="B41" s="627"/>
      <c r="C41" s="627"/>
      <c r="D41" s="627"/>
      <c r="E41" s="627"/>
      <c r="F41" s="627"/>
      <c r="G41" s="627"/>
      <c r="H41" s="631"/>
      <c r="I41" s="632"/>
      <c r="J41" s="632"/>
      <c r="K41" s="632"/>
      <c r="L41" s="632"/>
      <c r="M41" s="632"/>
      <c r="N41" s="633"/>
      <c r="O41" s="631"/>
      <c r="P41" s="633"/>
      <c r="Q41" s="627"/>
      <c r="R41" s="625"/>
      <c r="S41" s="8"/>
      <c r="T41" s="8"/>
      <c r="U41" s="8"/>
    </row>
    <row r="42" spans="1:30" ht="21" customHeight="1" x14ac:dyDescent="0.3">
      <c r="A42" s="14"/>
      <c r="B42" s="14"/>
      <c r="C42" s="21"/>
      <c r="D42" s="8"/>
      <c r="E42" s="8"/>
      <c r="F42" s="8"/>
      <c r="G42" s="8"/>
      <c r="H42" s="8"/>
      <c r="I42" s="8"/>
      <c r="J42" s="8"/>
      <c r="K42" s="8"/>
      <c r="L42" s="8"/>
      <c r="M42" s="8"/>
      <c r="N42" s="8"/>
      <c r="O42" s="8"/>
      <c r="P42" s="8"/>
      <c r="Q42" s="8"/>
      <c r="R42" s="8"/>
      <c r="S42" s="8"/>
      <c r="T42" s="8"/>
      <c r="U42" s="8"/>
      <c r="V42" s="8"/>
      <c r="W42" s="8"/>
      <c r="X42" s="8"/>
      <c r="Y42" s="8"/>
      <c r="Z42" s="8"/>
      <c r="AA42" s="8"/>
      <c r="AB42" s="8"/>
      <c r="AC42" s="8"/>
      <c r="AD42" s="8"/>
    </row>
    <row r="43" spans="1:30" ht="21" customHeight="1" x14ac:dyDescent="0.3">
      <c r="A43" s="651" t="s">
        <v>54</v>
      </c>
      <c r="B43" s="651"/>
      <c r="C43" s="21" t="s">
        <v>100</v>
      </c>
      <c r="D43" s="8"/>
      <c r="E43" s="8"/>
      <c r="F43" s="8"/>
      <c r="G43" s="8"/>
      <c r="H43" s="8"/>
      <c r="I43" s="8"/>
      <c r="J43" s="8"/>
      <c r="K43" s="8"/>
      <c r="L43" s="8"/>
      <c r="M43" s="8"/>
      <c r="N43" s="8"/>
      <c r="O43" s="8"/>
      <c r="P43" s="8"/>
      <c r="Q43" s="8"/>
      <c r="R43" s="8"/>
      <c r="S43" s="8"/>
      <c r="T43" s="8"/>
      <c r="U43" s="8"/>
      <c r="V43" s="8"/>
      <c r="W43" s="8"/>
      <c r="X43" s="8"/>
      <c r="Y43" s="8"/>
      <c r="Z43" s="8"/>
      <c r="AA43" s="8"/>
      <c r="AB43" s="8"/>
      <c r="AC43" s="8"/>
      <c r="AD43" s="8"/>
    </row>
    <row r="44" spans="1:30" ht="21" customHeight="1" x14ac:dyDescent="0.3">
      <c r="A44" s="14"/>
      <c r="B44" s="14"/>
      <c r="C44" s="21"/>
      <c r="D44" s="8"/>
      <c r="E44" s="8"/>
      <c r="F44" s="8"/>
      <c r="G44" s="8"/>
      <c r="H44" s="8"/>
      <c r="I44" s="8"/>
      <c r="J44" s="8"/>
      <c r="K44" s="8"/>
      <c r="L44" s="8"/>
      <c r="M44" s="8"/>
      <c r="N44" s="8"/>
      <c r="O44" s="8"/>
      <c r="P44" s="8"/>
      <c r="Q44" s="8"/>
      <c r="R44" s="8"/>
      <c r="S44" s="8"/>
      <c r="T44" s="8"/>
      <c r="U44" s="8"/>
      <c r="V44" s="8"/>
      <c r="W44" s="8"/>
      <c r="X44" s="8"/>
      <c r="Y44" s="8"/>
      <c r="Z44" s="8"/>
      <c r="AA44" s="8"/>
      <c r="AB44" s="8"/>
      <c r="AC44" s="8"/>
      <c r="AD44" s="8"/>
    </row>
    <row r="45" spans="1:30" x14ac:dyDescent="0.3">
      <c r="B45" s="61" t="s">
        <v>98</v>
      </c>
      <c r="C45" s="61"/>
      <c r="D45" s="61"/>
      <c r="E45" s="61"/>
      <c r="F45" s="61"/>
      <c r="G45" s="61"/>
      <c r="H45" s="61"/>
      <c r="I45" s="61"/>
      <c r="J45" s="61"/>
      <c r="K45" s="61"/>
      <c r="L45" s="61"/>
      <c r="M45" s="61"/>
      <c r="N45" s="61"/>
      <c r="O45" s="61"/>
      <c r="P45" s="61"/>
      <c r="Q45" s="61"/>
      <c r="R45" s="61"/>
      <c r="S45" s="8"/>
      <c r="T45" s="8"/>
      <c r="U45" s="8"/>
      <c r="V45" s="8"/>
      <c r="W45" s="8"/>
      <c r="X45" s="8"/>
      <c r="Y45" s="8"/>
      <c r="Z45" s="8"/>
      <c r="AA45" s="8"/>
      <c r="AB45" s="8"/>
    </row>
    <row r="46" spans="1:30" x14ac:dyDescent="0.3">
      <c r="A46" s="64"/>
      <c r="B46" s="50" t="s">
        <v>74</v>
      </c>
      <c r="C46" s="64"/>
      <c r="D46" s="64"/>
      <c r="E46" s="64"/>
      <c r="F46" s="64"/>
      <c r="G46" s="64"/>
      <c r="H46" s="64"/>
      <c r="I46" s="64"/>
      <c r="J46" s="64"/>
      <c r="K46" s="64"/>
      <c r="L46" s="64"/>
      <c r="M46" s="64"/>
      <c r="N46" s="64"/>
      <c r="O46" s="64"/>
      <c r="P46" s="64"/>
      <c r="Q46" s="64"/>
    </row>
    <row r="47" spans="1:30" x14ac:dyDescent="0.3">
      <c r="A47" s="64"/>
      <c r="B47" s="64"/>
      <c r="C47" s="64"/>
      <c r="D47" s="64"/>
      <c r="E47" s="64"/>
      <c r="F47" s="64"/>
      <c r="G47" s="64"/>
      <c r="H47" s="64"/>
      <c r="I47" s="64"/>
      <c r="J47" s="64"/>
      <c r="K47" s="64"/>
      <c r="L47" s="64"/>
      <c r="M47" s="64"/>
      <c r="N47" s="64"/>
      <c r="O47" s="64"/>
      <c r="P47" s="64"/>
      <c r="Q47" s="64"/>
    </row>
    <row r="48" spans="1:30" x14ac:dyDescent="0.3">
      <c r="A48" s="64"/>
      <c r="B48" s="64"/>
      <c r="C48" s="64"/>
      <c r="D48" s="64"/>
      <c r="E48" s="64"/>
      <c r="F48" s="64"/>
      <c r="G48" s="64"/>
      <c r="H48" s="64"/>
      <c r="I48" s="64"/>
      <c r="J48" s="64"/>
      <c r="K48" s="64"/>
      <c r="L48" s="64"/>
      <c r="M48" s="64"/>
      <c r="N48" s="64"/>
      <c r="O48" s="64"/>
      <c r="P48" s="64"/>
      <c r="Q48" s="64"/>
    </row>
    <row r="49" spans="1:31" x14ac:dyDescent="0.3">
      <c r="A49" s="64"/>
      <c r="B49" s="64"/>
      <c r="C49" s="64"/>
      <c r="D49" s="64"/>
      <c r="E49" s="64"/>
      <c r="F49" s="64"/>
      <c r="G49" s="64"/>
      <c r="H49" s="64"/>
      <c r="I49" s="64"/>
      <c r="J49" s="64"/>
      <c r="K49" s="64"/>
      <c r="L49" s="64"/>
      <c r="M49" s="64"/>
      <c r="N49" s="64"/>
      <c r="O49" s="64"/>
      <c r="P49" s="64"/>
      <c r="Q49" s="64"/>
    </row>
    <row r="50" spans="1:31" x14ac:dyDescent="0.3">
      <c r="A50" s="650" t="s">
        <v>117</v>
      </c>
      <c r="B50" s="650"/>
      <c r="C50" s="650"/>
      <c r="D50" s="650"/>
      <c r="E50" s="650"/>
      <c r="F50" s="650"/>
      <c r="G50" s="650"/>
      <c r="H50" s="650"/>
      <c r="I50" s="650"/>
      <c r="J50" s="650"/>
      <c r="K50" s="650"/>
      <c r="L50" s="650"/>
      <c r="M50" s="650"/>
      <c r="N50" s="650"/>
      <c r="O50" s="650"/>
      <c r="P50" s="650"/>
      <c r="Q50" s="61"/>
      <c r="R50" s="3"/>
      <c r="S50" s="3"/>
      <c r="T50" s="3"/>
      <c r="U50" s="3"/>
      <c r="V50" s="3"/>
      <c r="W50" s="3"/>
      <c r="X50" s="3"/>
      <c r="Y50" s="3"/>
      <c r="Z50" s="3"/>
      <c r="AA50" s="3"/>
      <c r="AB50" s="3"/>
      <c r="AC50" s="3"/>
    </row>
    <row r="51" spans="1:31" x14ac:dyDescent="0.3">
      <c r="A51" s="64"/>
      <c r="B51" s="64"/>
      <c r="C51" s="64"/>
      <c r="D51" s="64"/>
      <c r="E51" s="64"/>
      <c r="F51" s="64"/>
      <c r="G51" s="64"/>
      <c r="H51" s="64"/>
      <c r="I51" s="64"/>
      <c r="J51" s="64"/>
      <c r="K51" s="64"/>
      <c r="L51" s="64"/>
      <c r="M51" s="64"/>
      <c r="N51" s="64"/>
      <c r="O51" s="64"/>
      <c r="P51" s="64"/>
      <c r="Q51" s="64"/>
      <c r="R51" s="64"/>
      <c r="S51" s="64"/>
    </row>
    <row r="52" spans="1:31" x14ac:dyDescent="0.3">
      <c r="A52" s="64"/>
      <c r="B52" s="64"/>
      <c r="C52" s="64"/>
      <c r="D52" s="64"/>
      <c r="E52" s="64"/>
      <c r="F52" s="64"/>
      <c r="G52" s="64"/>
      <c r="H52" s="64"/>
      <c r="I52" s="64"/>
      <c r="J52" s="64"/>
      <c r="K52" s="64"/>
      <c r="L52" s="64"/>
      <c r="M52" s="64"/>
      <c r="N52" s="64"/>
      <c r="O52" s="64"/>
      <c r="P52" s="64"/>
      <c r="Q52" s="64"/>
      <c r="R52" s="64"/>
      <c r="S52" s="64"/>
    </row>
    <row r="53" spans="1:31" x14ac:dyDescent="0.3">
      <c r="A53" s="64"/>
      <c r="B53" s="64"/>
      <c r="C53" s="64"/>
      <c r="D53" s="64"/>
      <c r="E53" s="64"/>
      <c r="F53" s="64"/>
      <c r="G53" s="64"/>
      <c r="H53" s="64"/>
      <c r="I53" s="64"/>
      <c r="J53" s="64"/>
      <c r="K53" s="64"/>
      <c r="L53" s="64"/>
      <c r="M53" s="64"/>
      <c r="N53" s="64"/>
      <c r="O53" s="64"/>
      <c r="P53" s="64"/>
      <c r="Q53" s="64"/>
      <c r="R53" s="64"/>
      <c r="S53" s="64"/>
    </row>
    <row r="54" spans="1:31" x14ac:dyDescent="0.3">
      <c r="A54" s="64"/>
      <c r="B54" s="64"/>
      <c r="C54" s="64"/>
      <c r="D54" s="64"/>
      <c r="E54" s="64"/>
      <c r="F54" s="64"/>
      <c r="G54" s="64"/>
      <c r="H54" s="64"/>
      <c r="I54" s="64"/>
      <c r="J54" s="64"/>
      <c r="K54" s="64"/>
      <c r="L54" s="64"/>
      <c r="M54" s="64"/>
      <c r="N54" s="64"/>
      <c r="O54" s="64"/>
      <c r="P54" s="64"/>
      <c r="Q54" s="64"/>
      <c r="R54" s="64"/>
      <c r="S54" s="64"/>
    </row>
    <row r="55" spans="1:31" x14ac:dyDescent="0.3">
      <c r="A55" s="576"/>
      <c r="B55" s="576"/>
      <c r="C55" s="576"/>
      <c r="D55" s="576"/>
      <c r="E55" s="10"/>
      <c r="F55" s="10"/>
      <c r="G55" s="10"/>
      <c r="H55" s="10"/>
      <c r="I55" s="576"/>
      <c r="J55" s="576"/>
      <c r="K55" s="576"/>
      <c r="L55" s="576"/>
      <c r="M55" s="576"/>
      <c r="N55" s="576"/>
      <c r="O55" s="576"/>
      <c r="P55" s="64"/>
      <c r="Q55" s="64"/>
      <c r="R55" s="64"/>
      <c r="S55" s="64"/>
      <c r="T55" s="3"/>
      <c r="U55" s="3"/>
      <c r="V55" s="3"/>
      <c r="W55" s="3"/>
      <c r="X55" s="3"/>
      <c r="Y55" s="3"/>
      <c r="Z55" s="3"/>
      <c r="AA55" s="3"/>
      <c r="AB55" s="3"/>
      <c r="AC55" s="3"/>
      <c r="AD55" s="3"/>
      <c r="AE55" s="3"/>
    </row>
    <row r="60" spans="1:31" x14ac:dyDescent="0.3">
      <c r="E60" s="11"/>
      <c r="F60" s="11"/>
      <c r="G60" s="11"/>
      <c r="H60" s="11"/>
      <c r="P60" s="11"/>
      <c r="Q60" s="11"/>
      <c r="R60" s="11"/>
      <c r="S60" s="11"/>
    </row>
    <row r="62" spans="1:31" x14ac:dyDescent="0.3">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row>
    <row r="63" spans="1:31" x14ac:dyDescent="0.3">
      <c r="A63" s="3"/>
      <c r="B63" s="3"/>
      <c r="C63" s="3"/>
      <c r="D63" s="3"/>
    </row>
  </sheetData>
  <mergeCells count="149">
    <mergeCell ref="C40:C41"/>
    <mergeCell ref="E40:E41"/>
    <mergeCell ref="F38:F39"/>
    <mergeCell ref="E38:E39"/>
    <mergeCell ref="D38:D39"/>
    <mergeCell ref="G38:G39"/>
    <mergeCell ref="B38:B39"/>
    <mergeCell ref="A40:A41"/>
    <mergeCell ref="A55:D55"/>
    <mergeCell ref="D40:D41"/>
    <mergeCell ref="C38:C39"/>
    <mergeCell ref="G40:G41"/>
    <mergeCell ref="I55:O55"/>
    <mergeCell ref="A17:A18"/>
    <mergeCell ref="G19:G20"/>
    <mergeCell ref="H19:H20"/>
    <mergeCell ref="M17:R18"/>
    <mergeCell ref="M19:R20"/>
    <mergeCell ref="D32:D33"/>
    <mergeCell ref="O32:P33"/>
    <mergeCell ref="G28:G31"/>
    <mergeCell ref="K23:L24"/>
    <mergeCell ref="R28:R31"/>
    <mergeCell ref="D21:D22"/>
    <mergeCell ref="F29:F31"/>
    <mergeCell ref="A50:P50"/>
    <mergeCell ref="A23:A24"/>
    <mergeCell ref="D23:D24"/>
    <mergeCell ref="G23:G24"/>
    <mergeCell ref="H23:H24"/>
    <mergeCell ref="B32:B33"/>
    <mergeCell ref="O38:P39"/>
    <mergeCell ref="A38:A39"/>
    <mergeCell ref="F40:F41"/>
    <mergeCell ref="B40:B41"/>
    <mergeCell ref="A43:B43"/>
    <mergeCell ref="A1:C1"/>
    <mergeCell ref="A3:C3"/>
    <mergeCell ref="K15:L16"/>
    <mergeCell ref="B15:B16"/>
    <mergeCell ref="C15:C16"/>
    <mergeCell ref="A5:D5"/>
    <mergeCell ref="A11:A14"/>
    <mergeCell ref="C11:C14"/>
    <mergeCell ref="A15:A16"/>
    <mergeCell ref="G1:R1"/>
    <mergeCell ref="A4:C4"/>
    <mergeCell ref="G2:R2"/>
    <mergeCell ref="G3:R3"/>
    <mergeCell ref="A6:R6"/>
    <mergeCell ref="A7:R7"/>
    <mergeCell ref="H15:H16"/>
    <mergeCell ref="H12:H14"/>
    <mergeCell ref="D11:I11"/>
    <mergeCell ref="I12:I14"/>
    <mergeCell ref="E15:F16"/>
    <mergeCell ref="A2:C2"/>
    <mergeCell ref="A34:A35"/>
    <mergeCell ref="C23:C24"/>
    <mergeCell ref="A36:A37"/>
    <mergeCell ref="G12:G14"/>
    <mergeCell ref="G15:G16"/>
    <mergeCell ref="D12:D14"/>
    <mergeCell ref="E12:F14"/>
    <mergeCell ref="A21:A22"/>
    <mergeCell ref="I19:I20"/>
    <mergeCell ref="A28:A31"/>
    <mergeCell ref="C21:C22"/>
    <mergeCell ref="I21:I22"/>
    <mergeCell ref="H17:H18"/>
    <mergeCell ref="D17:D18"/>
    <mergeCell ref="E17:F18"/>
    <mergeCell ref="B17:B18"/>
    <mergeCell ref="C17:C18"/>
    <mergeCell ref="I17:I18"/>
    <mergeCell ref="B36:B37"/>
    <mergeCell ref="D36:D37"/>
    <mergeCell ref="E36:E37"/>
    <mergeCell ref="F36:F37"/>
    <mergeCell ref="A19:A20"/>
    <mergeCell ref="B21:B22"/>
    <mergeCell ref="E21:F22"/>
    <mergeCell ref="B34:B35"/>
    <mergeCell ref="O28:P31"/>
    <mergeCell ref="K21:L22"/>
    <mergeCell ref="B26:P26"/>
    <mergeCell ref="K19:L20"/>
    <mergeCell ref="J23:J24"/>
    <mergeCell ref="E32:E33"/>
    <mergeCell ref="B19:B20"/>
    <mergeCell ref="B23:B24"/>
    <mergeCell ref="C29:C31"/>
    <mergeCell ref="H28:N31"/>
    <mergeCell ref="J19:J20"/>
    <mergeCell ref="C32:C33"/>
    <mergeCell ref="G21:G22"/>
    <mergeCell ref="G32:G33"/>
    <mergeCell ref="E19:F20"/>
    <mergeCell ref="E29:E31"/>
    <mergeCell ref="E23:F24"/>
    <mergeCell ref="H21:H22"/>
    <mergeCell ref="O36:P37"/>
    <mergeCell ref="G34:G35"/>
    <mergeCell ref="F32:F33"/>
    <mergeCell ref="B28:F28"/>
    <mergeCell ref="B29:B31"/>
    <mergeCell ref="C36:C37"/>
    <mergeCell ref="G36:G37"/>
    <mergeCell ref="F34:F35"/>
    <mergeCell ref="R40:R41"/>
    <mergeCell ref="H32:N33"/>
    <mergeCell ref="H34:N35"/>
    <mergeCell ref="H36:N37"/>
    <mergeCell ref="O34:P35"/>
    <mergeCell ref="Q40:Q41"/>
    <mergeCell ref="H38:N39"/>
    <mergeCell ref="Q32:Q33"/>
    <mergeCell ref="Q36:Q37"/>
    <mergeCell ref="Q38:Q39"/>
    <mergeCell ref="R38:R39"/>
    <mergeCell ref="O40:P41"/>
    <mergeCell ref="H40:N41"/>
    <mergeCell ref="R32:R33"/>
    <mergeCell ref="R34:R35"/>
    <mergeCell ref="Q34:Q35"/>
    <mergeCell ref="R36:R37"/>
    <mergeCell ref="A32:A33"/>
    <mergeCell ref="C34:C35"/>
    <mergeCell ref="D34:D35"/>
    <mergeCell ref="D19:D20"/>
    <mergeCell ref="G17:G18"/>
    <mergeCell ref="J15:J16"/>
    <mergeCell ref="M15:R16"/>
    <mergeCell ref="K11:L14"/>
    <mergeCell ref="J11:J14"/>
    <mergeCell ref="D29:D31"/>
    <mergeCell ref="B11:B14"/>
    <mergeCell ref="D15:D16"/>
    <mergeCell ref="M11:R14"/>
    <mergeCell ref="I15:I16"/>
    <mergeCell ref="C19:C20"/>
    <mergeCell ref="J17:J18"/>
    <mergeCell ref="K17:L18"/>
    <mergeCell ref="M21:R22"/>
    <mergeCell ref="E34:E35"/>
    <mergeCell ref="Q28:Q31"/>
    <mergeCell ref="J21:J22"/>
    <mergeCell ref="I23:I24"/>
    <mergeCell ref="M23:R24"/>
  </mergeCells>
  <phoneticPr fontId="19" type="noConversion"/>
  <printOptions horizontalCentered="1"/>
  <pageMargins left="0.5" right="0.16" top="0.47" bottom="0.5" header="0" footer="0"/>
  <pageSetup paperSize="9" scale="85" orientation="landscape"/>
  <headerFooter alignWithMargins="0"/>
  <rowBreaks count="1" manualBreakCount="1">
    <brk id="25" max="16383" man="1"/>
  </rowBreaks>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9</vt:i4>
      </vt:variant>
    </vt:vector>
  </HeadingPairs>
  <TitlesOfParts>
    <vt:vector size="22" baseType="lpstr">
      <vt:lpstr>DSGV</vt:lpstr>
      <vt:lpstr>DSGVCH</vt:lpstr>
      <vt:lpstr>Mau1_HKI_TUD</vt:lpstr>
      <vt:lpstr>Mau1_HKII_TUD</vt:lpstr>
      <vt:lpstr>Mau1_SPToan_HKI</vt:lpstr>
      <vt:lpstr>Mau1_SPToan_HKII</vt:lpstr>
      <vt:lpstr>Mau1_HKI_MonChung</vt:lpstr>
      <vt:lpstr>Mau1_HKII_MonChung</vt:lpstr>
      <vt:lpstr>Mau2</vt:lpstr>
      <vt:lpstr>Mau3</vt:lpstr>
      <vt:lpstr>Mau4</vt:lpstr>
      <vt:lpstr>Mau5</vt:lpstr>
      <vt:lpstr>Mau6</vt:lpstr>
      <vt:lpstr>Mau1_SPToan_HKI!Print_Area</vt:lpstr>
      <vt:lpstr>Mau1_SPToan_HKII!Print_Area</vt:lpstr>
      <vt:lpstr>'Mau5'!Print_Area</vt:lpstr>
      <vt:lpstr>'Mau6'!Print_Area</vt:lpstr>
      <vt:lpstr>Mau1_SPToan_HKI!Print_Titles</vt:lpstr>
      <vt:lpstr>Mau1_SPToan_HKII!Print_Titles</vt:lpstr>
      <vt:lpstr>'Mau2'!Print_Titles</vt:lpstr>
      <vt:lpstr>'Mau3'!Print_Titles</vt:lpstr>
      <vt:lpstr>'Mau4'!Print_Titles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Computer</dc:creator>
  <cp:lastModifiedBy>Hoang yen</cp:lastModifiedBy>
  <cp:lastPrinted>2021-07-05T01:50:13Z</cp:lastPrinted>
  <dcterms:created xsi:type="dcterms:W3CDTF">2011-06-17T01:17:42Z</dcterms:created>
  <dcterms:modified xsi:type="dcterms:W3CDTF">2021-07-05T14:06:18Z</dcterms:modified>
</cp:coreProperties>
</file>